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https://advtechonline-my.sharepoint.com/personal/st10455930_myemeris_edu_za/Documents/"/>
    </mc:Choice>
  </mc:AlternateContent>
  <xr:revisionPtr revIDLastSave="0" documentId="8_{F965851D-7BBF-6549-AF44-25448F8E58C5}" xr6:coauthVersionLast="47" xr6:coauthVersionMax="47" xr10:uidLastSave="{00000000-0000-0000-0000-000000000000}"/>
  <bookViews>
    <workbookView xWindow="0" yWindow="500" windowWidth="28800" windowHeight="17500" firstSheet="1" activeTab="1" xr2:uid="{00000000-000D-0000-FFFF-FFFF00000000}"/>
  </bookViews>
  <sheets>
    <sheet name="Cover" sheetId="1" r:id="rId1"/>
    <sheet name="Analysis Brief" sheetId="2" r:id="rId2"/>
    <sheet name="Rep Performance" sheetId="5" r:id="rId3"/>
    <sheet name="Forecast Model" sheetId="4" r:id="rId4"/>
    <sheet name="Dashboard" sheetId="6" r:id="rId5"/>
    <sheet name="Deal Data" sheetId="3" r:id="rId6"/>
    <sheet name="VISUALISATION TASKS" sheetId="14" r:id="rId7"/>
    <sheet name="Assumptions" sheetId="7" r:id="rId8"/>
    <sheet name="Completed Analysis" sheetId="18" r:id="rId9"/>
  </sheets>
  <definedNames>
    <definedName name="_xlnm._FilterDatabase" localSheetId="4" hidden="1">Dashboard!$AS$1:$AT$321</definedName>
    <definedName name="_xlnm._FilterDatabase" localSheetId="5" hidden="1">'Deal Data'!$B$1:$W$151</definedName>
    <definedName name="_xlnm._FilterDatabase" localSheetId="2" hidden="1">'Rep Performance'!$B$6:$K$14</definedName>
    <definedName name="_xlchart.v2.0" hidden="1">Dashboard!$J$24:$J$29</definedName>
    <definedName name="_xlchart.v2.1" hidden="1">Dashboard!$K$23</definedName>
    <definedName name="_xlchart.v2.10" hidden="1">Dashboard!$C$23</definedName>
    <definedName name="_xlchart.v2.11" hidden="1">Dashboard!$C$24:$C$31</definedName>
    <definedName name="_xlchart.v2.2" hidden="1">Dashboard!$K$24:$K$29</definedName>
    <definedName name="_xlchart.v2.3" hidden="1">Dashboard!$B$13:$B$19</definedName>
    <definedName name="_xlchart.v2.4" hidden="1">Dashboard!$C$12</definedName>
    <definedName name="_xlchart.v2.5" hidden="1">Dashboard!$C$13:$C$19</definedName>
    <definedName name="_xlchart.v2.6" hidden="1">Dashboard!$J$13:$J$17</definedName>
    <definedName name="_xlchart.v2.7" hidden="1">Dashboard!$K$12</definedName>
    <definedName name="_xlchart.v2.8" hidden="1">Dashboard!$K$13:$K$17</definedName>
    <definedName name="_xlchart.v2.9" hidden="1">Dashboard!$B$24:$B$31</definedName>
  </definedNames>
  <calcPr calcId="191029"/>
  <pivotCaches>
    <pivotCache cacheId="0" r:id="rId10"/>
    <pivotCache cacheId="1" r:id="rId11"/>
    <pivotCache cacheId="2" r:id="rId12"/>
    <pivotCache cacheId="3" r:id="rId13"/>
    <pivotCache cacheId="4" r:id="rId14"/>
    <pivotCache cacheId="5" r:id="rId15"/>
    <pivotCache cacheId="9" r:id="rId16"/>
    <pivotCache cacheId="21" r:id="rId1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5" l="1"/>
  <c r="E38" i="5"/>
  <c r="E39" i="5"/>
  <c r="E40" i="5"/>
  <c r="E41" i="5"/>
  <c r="E42" i="5"/>
  <c r="E43" i="5"/>
  <c r="E36" i="5"/>
  <c r="V7" i="14"/>
  <c r="U7" i="14"/>
  <c r="J19" i="4" l="1"/>
  <c r="I19" i="4"/>
  <c r="H19" i="4"/>
  <c r="G19" i="4"/>
  <c r="F19" i="4"/>
  <c r="E19" i="4"/>
  <c r="D19" i="4"/>
  <c r="C19" i="4"/>
</calcChain>
</file>

<file path=xl/sharedStrings.xml><?xml version="1.0" encoding="utf-8"?>
<sst xmlns="http://schemas.openxmlformats.org/spreadsheetml/2006/main" count="3831" uniqueCount="851">
  <si>
    <t>VERTEX CAPITAL  |  SALES PIPELINE &amp; REVENUE FORECASTING</t>
  </si>
  <si>
    <t>Business Analyst Portfolio Project  ·  FY2025  ·  Mock Case Study</t>
  </si>
  <si>
    <t>Analyst:</t>
  </si>
  <si>
    <t>Company:</t>
  </si>
  <si>
    <t>Vertex Capital (Pty) Ltd  –  Fictitious SA Financial Services Firm</t>
  </si>
  <si>
    <t>Period:</t>
  </si>
  <si>
    <t>FY2025  (January – December 2025)</t>
  </si>
  <si>
    <t>Scope:</t>
  </si>
  <si>
    <t>150 deals  |  8 reps  |  8 products  |  5 regions  |  4 quarters</t>
  </si>
  <si>
    <t>Objective:</t>
  </si>
  <si>
    <t>Analyse the B2B sales pipeline to forecast revenue, identify bottlenecks and prioritise deals</t>
  </si>
  <si>
    <t>Tools:</t>
  </si>
  <si>
    <t>Microsoft Excel  |  PivotTables  |  Charts  |  Weighted Forecast Model</t>
  </si>
  <si>
    <t>Sheets:</t>
  </si>
  <si>
    <t>Cover  ›  Analysis Brief  ›  Deal Data  ›  Forecast Model  ›  Rep Performance  ›  Dashboard  ›  Assumptions</t>
  </si>
  <si>
    <t>VERTEX CAPITAL  |  INTERNAL ANALYST BRIEF</t>
  </si>
  <si>
    <t>Sales Pipeline &amp; Revenue Forecasting  ·  Q4 2025 Review</t>
  </si>
  <si>
    <t>TO:</t>
  </si>
  <si>
    <t>FROM:</t>
  </si>
  <si>
    <t>Thandeka Vusi  –  Head of Sales Strategy &amp; Analytics, Vertex Capital</t>
  </si>
  <si>
    <t>DATE:</t>
  </si>
  <si>
    <t>1 October 2025</t>
  </si>
  <si>
    <t>RE:</t>
  </si>
  <si>
    <t>FY2025 Pipeline Review &amp; Q4 Revenue Forecast</t>
  </si>
  <si>
    <t>DEADLINE:</t>
  </si>
  <si>
    <t>HIGH PRIORITY  |  Submission: 15 October 2025</t>
  </si>
  <si>
    <t>1.  BACKGROUND</t>
  </si>
  <si>
    <t>Vertex Capital's BD team has been tracking 150 active and recently closed deals across FY2025. The CRM export attached contains deal-level data including stage, value, rep, region, product and channel. As the pipeline analyst, you are required to produce a revenue forecast, identify pipeline health issues and provide actionable recommendations to the Sales Director ahead of the Q4 board review.
The R850 million annual revenue target is at risk. The Sales Director needs to know where we stand, which deals to prioritise, and which reps need support.</t>
  </si>
  <si>
    <t>2.  ANALYTICAL QUESTIONS</t>
  </si>
  <si>
    <t>#</t>
  </si>
  <si>
    <t>Business Question</t>
  </si>
  <si>
    <t>Output Required</t>
  </si>
  <si>
    <t>Sheet</t>
  </si>
  <si>
    <t>Status</t>
  </si>
  <si>
    <t>Q1</t>
  </si>
  <si>
    <t>What is the total pipeline value and weighted forecast value across all deals?</t>
  </si>
  <si>
    <t>Summary KPIs</t>
  </si>
  <si>
    <t>Dashboard</t>
  </si>
  <si>
    <t>✅ Completed</t>
  </si>
  <si>
    <t>Q2</t>
  </si>
  <si>
    <t>How are deals distributed across pipeline stages? Where are the biggest drop-offs?</t>
  </si>
  <si>
    <t>Stage funnel table + chart</t>
  </si>
  <si>
    <t>Q3</t>
  </si>
  <si>
    <t>Which sales rep has the highest weighted pipeline value? Who is furthest from target?</t>
  </si>
  <si>
    <t>Rep performance table</t>
  </si>
  <si>
    <t>Rep Performance</t>
  </si>
  <si>
    <t>Q4</t>
  </si>
  <si>
    <t>Which product generates the most pipeline value? Which has the best win rate?</t>
  </si>
  <si>
    <t>Product breakdown table</t>
  </si>
  <si>
    <t>Q5</t>
  </si>
  <si>
    <t>Build a weighted revenue forecast by quarter. Are we on track to hit R850m?</t>
  </si>
  <si>
    <t>Forecast model + variance</t>
  </si>
  <si>
    <t>Forecast Model</t>
  </si>
  <si>
    <t>Q6</t>
  </si>
  <si>
    <t>Which region contributes the most to the pipeline? Is there regional concentration risk?</t>
  </si>
  <si>
    <t>Regional breakdown table</t>
  </si>
  <si>
    <t>Q7</t>
  </si>
  <si>
    <t>Which acquisition channel produces deals with the highest average value?</t>
  </si>
  <si>
    <t>Channel analysis table</t>
  </si>
  <si>
    <t>Deal Data</t>
  </si>
  <si>
    <t>Q8</t>
  </si>
  <si>
    <t>Flag all deals that have been open for more than 90 days with no stage progression.</t>
  </si>
  <si>
    <t>Q9</t>
  </si>
  <si>
    <t>What is the average deal size per stage? Does it increase as deals progress?</t>
  </si>
  <si>
    <t>Stage vs avg deal size</t>
  </si>
  <si>
    <t>📌 Extension</t>
  </si>
  <si>
    <t>Q10</t>
  </si>
  <si>
    <t>Which rep has the highest conversion rate (Closed Won / total deals)?</t>
  </si>
  <si>
    <t>Win rate per rep</t>
  </si>
  <si>
    <t>3.  VISUALISATION TASKS</t>
  </si>
  <si>
    <t>Chart Title</t>
  </si>
  <si>
    <t>Chart Type</t>
  </si>
  <si>
    <t>Data Source</t>
  </si>
  <si>
    <t>Key Message</t>
  </si>
  <si>
    <t>V1</t>
  </si>
  <si>
    <t>Pipeline Stage Funnel – Deal Count</t>
  </si>
  <si>
    <t>Horizontal Bar</t>
  </si>
  <si>
    <t>Show where volume drops off</t>
  </si>
  <si>
    <t>V2</t>
  </si>
  <si>
    <t>Weighted Forecast vs R850m Target</t>
  </si>
  <si>
    <t>Bullet/Progress Chart</t>
  </si>
  <si>
    <t>Are we on track?</t>
  </si>
  <si>
    <t>Revenue by Rep – Ranked Bar</t>
  </si>
  <si>
    <t>Bar Chart</t>
  </si>
  <si>
    <t>Identify top &amp; bottom performers</t>
  </si>
  <si>
    <t>V4</t>
  </si>
  <si>
    <t>Pipeline Value by Product</t>
  </si>
  <si>
    <t>Treemap / Bar</t>
  </si>
  <si>
    <t>Which products drive revenue</t>
  </si>
  <si>
    <t>V5</t>
  </si>
  <si>
    <t>Quarterly Forecast Trend</t>
  </si>
  <si>
    <t>Line Chart</t>
  </si>
  <si>
    <t>Q-on-Q momentum</t>
  </si>
  <si>
    <t>V6</t>
  </si>
  <si>
    <t>Deal Value by Region – Pie</t>
  </si>
  <si>
    <t>Pie Chart</t>
  </si>
  <si>
    <t>Regional concentration</t>
  </si>
  <si>
    <t>V7</t>
  </si>
  <si>
    <t>Channel vs Avg Deal Value</t>
  </si>
  <si>
    <t>Clustered Bar</t>
  </si>
  <si>
    <t>Best acquisition channels</t>
  </si>
  <si>
    <t>Deal ID</t>
  </si>
  <si>
    <t>Contact First</t>
  </si>
  <si>
    <t>Contact Last</t>
  </si>
  <si>
    <t>Company</t>
  </si>
  <si>
    <t>Region</t>
  </si>
  <si>
    <t>Industry</t>
  </si>
  <si>
    <t>Product</t>
  </si>
  <si>
    <t>Stage</t>
  </si>
  <si>
    <t>Probability (%)</t>
  </si>
  <si>
    <t>Deal Value (R)</t>
  </si>
  <si>
    <t>Weighted Value (R)</t>
  </si>
  <si>
    <t>Sales Rep</t>
  </si>
  <si>
    <t>Channel</t>
  </si>
  <si>
    <t>Quarter</t>
  </si>
  <si>
    <t>Open Date</t>
  </si>
  <si>
    <t>Expected Close</t>
  </si>
  <si>
    <t>Age (Days)</t>
  </si>
  <si>
    <t>Last Activity</t>
  </si>
  <si>
    <t>Rev Potential (R)</t>
  </si>
  <si>
    <t>Stale (&gt;90 days)</t>
  </si>
  <si>
    <t>Notes</t>
  </si>
  <si>
    <t>VX-0001</t>
  </si>
  <si>
    <t>Nicole</t>
  </si>
  <si>
    <t>Smith</t>
  </si>
  <si>
    <t>Delta Partners</t>
  </si>
  <si>
    <t>KwaZulu-Natal</t>
  </si>
  <si>
    <t>Asset Management</t>
  </si>
  <si>
    <t>Trade Finance</t>
  </si>
  <si>
    <t>Proposal</t>
  </si>
  <si>
    <t>Amahle Dlamini</t>
  </si>
  <si>
    <t>Direct BD</t>
  </si>
  <si>
    <t>Q1 2025</t>
  </si>
  <si>
    <t>2025-05-01</t>
  </si>
  <si>
    <t>2025-10-05</t>
  </si>
  <si>
    <t>2025-05-13</t>
  </si>
  <si>
    <t>Yes</t>
  </si>
  <si>
    <t>VX-0002</t>
  </si>
  <si>
    <t>Gareth</t>
  </si>
  <si>
    <t>Ndlovu</t>
  </si>
  <si>
    <t>Gold Investments</t>
  </si>
  <si>
    <t>Gauteng</t>
  </si>
  <si>
    <t>Equity Advisory</t>
  </si>
  <si>
    <t>Lerato Mokoena</t>
  </si>
  <si>
    <t>Q2 2025</t>
  </si>
  <si>
    <t>2025-02-03</t>
  </si>
  <si>
    <t>2025-04-25</t>
  </si>
  <si>
    <t>2025-03-20</t>
  </si>
  <si>
    <t>VX-0003</t>
  </si>
  <si>
    <t>Bongiwe</t>
  </si>
  <si>
    <t>Zwane</t>
  </si>
  <si>
    <t>Indigo Holdings</t>
  </si>
  <si>
    <t>Wealth Management</t>
  </si>
  <si>
    <t>Treasury Solutions</t>
  </si>
  <si>
    <t>Closed Won</t>
  </si>
  <si>
    <t>Events</t>
  </si>
  <si>
    <t>2025-05-15</t>
  </si>
  <si>
    <t>2025-11-02</t>
  </si>
  <si>
    <t>2025-05-23</t>
  </si>
  <si>
    <t>VX-0004</t>
  </si>
  <si>
    <t>Pieter</t>
  </si>
  <si>
    <t>Ferreira</t>
  </si>
  <si>
    <t>Jade Solutions</t>
  </si>
  <si>
    <t>Western Cape</t>
  </si>
  <si>
    <t>Capital Markets</t>
  </si>
  <si>
    <t>James Meyer</t>
  </si>
  <si>
    <t>2025-01-16</t>
  </si>
  <si>
    <t>2025-02-25</t>
  </si>
  <si>
    <t>2025-03-05</t>
  </si>
  <si>
    <t>VX-0005</t>
  </si>
  <si>
    <t>Emma</t>
  </si>
  <si>
    <t>Pillay</t>
  </si>
  <si>
    <t>Indigo Solutions</t>
  </si>
  <si>
    <t>Banking</t>
  </si>
  <si>
    <t>Stefan Botha</t>
  </si>
  <si>
    <t>2025-01-27</t>
  </si>
  <si>
    <t>2025-06-30</t>
  </si>
  <si>
    <t>2025-03-27</t>
  </si>
  <si>
    <t>VX-0006</t>
  </si>
  <si>
    <t>Dlamini</t>
  </si>
  <si>
    <t>Apex Asset Mgmt</t>
  </si>
  <si>
    <t>Structured Lending</t>
  </si>
  <si>
    <t>Qualified</t>
  </si>
  <si>
    <t>Q4 2025</t>
  </si>
  <si>
    <t>2025-08-04</t>
  </si>
  <si>
    <t>2025-10-07</t>
  </si>
  <si>
    <t>2025-08-20</t>
  </si>
  <si>
    <t>No</t>
  </si>
  <si>
    <t>VX-0007</t>
  </si>
  <si>
    <t>Thabo</t>
  </si>
  <si>
    <t>Mokoena</t>
  </si>
  <si>
    <t>Cape Capital</t>
  </si>
  <si>
    <t>Risk Management</t>
  </si>
  <si>
    <t>On Hold</t>
  </si>
  <si>
    <t>Referral – Client</t>
  </si>
  <si>
    <t>Q3 2025</t>
  </si>
  <si>
    <t>2025-02-16</t>
  </si>
  <si>
    <t>2025-07-02</t>
  </si>
  <si>
    <t>2025-03-07</t>
  </si>
  <si>
    <t>VX-0008</t>
  </si>
  <si>
    <t>Amahle</t>
  </si>
  <si>
    <t>Delta Capital</t>
  </si>
  <si>
    <t>Prospect</t>
  </si>
  <si>
    <t>Priya Naidoo</t>
  </si>
  <si>
    <t>Referral – Broker</t>
  </si>
  <si>
    <t>2025-09-07</t>
  </si>
  <si>
    <t>2025-10-28</t>
  </si>
  <si>
    <t>2025-09-21</t>
  </si>
  <si>
    <t>VX-0009</t>
  </si>
  <si>
    <t>Fatima</t>
  </si>
  <si>
    <t>Naidoo</t>
  </si>
  <si>
    <t>Orion Asset Mgmt</t>
  </si>
  <si>
    <t>Property Finance</t>
  </si>
  <si>
    <t>Corporate Finance</t>
  </si>
  <si>
    <t>Closed Lost</t>
  </si>
  <si>
    <t>Ruan Ferreira</t>
  </si>
  <si>
    <t>2025-09-11</t>
  </si>
  <si>
    <t>2025-12-30</t>
  </si>
  <si>
    <t>2025-09-18</t>
  </si>
  <si>
    <t>VX-0010</t>
  </si>
  <si>
    <t>Macro Group</t>
  </si>
  <si>
    <t>Digital Inbound</t>
  </si>
  <si>
    <t>2025-02-05</t>
  </si>
  <si>
    <t>2025-04-11</t>
  </si>
  <si>
    <t>2025-03-01</t>
  </si>
  <si>
    <t>VX-0011</t>
  </si>
  <si>
    <t>Kyle</t>
  </si>
  <si>
    <t>Jacobs</t>
  </si>
  <si>
    <t>Noble Solutions</t>
  </si>
  <si>
    <t>2025-05-26</t>
  </si>
  <si>
    <t>2025-08-05</t>
  </si>
  <si>
    <t>2025-07-07</t>
  </si>
  <si>
    <t>VX-0012</t>
  </si>
  <si>
    <t>Free State</t>
  </si>
  <si>
    <t>Kagiso Sithole</t>
  </si>
  <si>
    <t>2025-08-13</t>
  </si>
  <si>
    <t>2026-01-26</t>
  </si>
  <si>
    <t>2025-08-18</t>
  </si>
  <si>
    <t>VX-0013</t>
  </si>
  <si>
    <t>Sipho</t>
  </si>
  <si>
    <t>Khumalo</t>
  </si>
  <si>
    <t>Macro Investments</t>
  </si>
  <si>
    <t>Fintech</t>
  </si>
  <si>
    <t>Negotiation</t>
  </si>
  <si>
    <t>2025-09-23</t>
  </si>
  <si>
    <t>2025-11-10</t>
  </si>
  <si>
    <t>2025-09-26</t>
  </si>
  <si>
    <t>VX-0014</t>
  </si>
  <si>
    <t>Nkosi</t>
  </si>
  <si>
    <t>Macro Ventures</t>
  </si>
  <si>
    <t>2025-07-23</t>
  </si>
  <si>
    <t>2025-09-15</t>
  </si>
  <si>
    <t>2025-08-06</t>
  </si>
  <si>
    <t>VX-0015</t>
  </si>
  <si>
    <t>Botha</t>
  </si>
  <si>
    <t>Kestrel Finance</t>
  </si>
  <si>
    <t>Private Equity</t>
  </si>
  <si>
    <t>2025-05-17</t>
  </si>
  <si>
    <t>2025-10-08</t>
  </si>
  <si>
    <t>2025-06-05</t>
  </si>
  <si>
    <t>VX-0016</t>
  </si>
  <si>
    <t>David</t>
  </si>
  <si>
    <t>Jade Holdings</t>
  </si>
  <si>
    <t>Insurance</t>
  </si>
  <si>
    <t>2025-07-27</t>
  </si>
  <si>
    <t>2025-09-09</t>
  </si>
  <si>
    <t>VX-0017</t>
  </si>
  <si>
    <t>Orion Finance</t>
  </si>
  <si>
    <t>Eastern Cape</t>
  </si>
  <si>
    <t>2025-10-22</t>
  </si>
  <si>
    <t>2025-07-10</t>
  </si>
  <si>
    <t>VX-0018</t>
  </si>
  <si>
    <t>Nkosinathi</t>
  </si>
  <si>
    <t>Van der Merwe</t>
  </si>
  <si>
    <t>Gold Ventures</t>
  </si>
  <si>
    <t>Nomvula Khumalo</t>
  </si>
  <si>
    <t>2025-08-23</t>
  </si>
  <si>
    <t>2025-09-03</t>
  </si>
  <si>
    <t>VX-0019</t>
  </si>
  <si>
    <t>Blue Advisory</t>
  </si>
  <si>
    <t>Wealth Planning</t>
  </si>
  <si>
    <t>2025-04-07</t>
  </si>
  <si>
    <t>2025-10-04</t>
  </si>
  <si>
    <t>2025-04-10</t>
  </si>
  <si>
    <t>VX-0020</t>
  </si>
  <si>
    <t>Gold Capital</t>
  </si>
  <si>
    <t>2025-09-08</t>
  </si>
  <si>
    <t>2026-03-06</t>
  </si>
  <si>
    <t>2025-10-01</t>
  </si>
  <si>
    <t>VX-0021</t>
  </si>
  <si>
    <t>Indigo Partners</t>
  </si>
  <si>
    <t>2025-08-08</t>
  </si>
  <si>
    <t>2025-10-06</t>
  </si>
  <si>
    <t>2025-09-12</t>
  </si>
  <si>
    <t>VX-0022</t>
  </si>
  <si>
    <t>Lerato</t>
  </si>
  <si>
    <t>Horizon Holdings</t>
  </si>
  <si>
    <t>2025-08-12</t>
  </si>
  <si>
    <t>2025-11-30</t>
  </si>
  <si>
    <t>2025-08-27</t>
  </si>
  <si>
    <t>VX-0023</t>
  </si>
  <si>
    <t>2025-08-02</t>
  </si>
  <si>
    <t>2025-04-26</t>
  </si>
  <si>
    <t>VX-0024</t>
  </si>
  <si>
    <t>Michael</t>
  </si>
  <si>
    <t>2025-04-22</t>
  </si>
  <si>
    <t>VX-0025</t>
  </si>
  <si>
    <t>Tanya</t>
  </si>
  <si>
    <t>Noble Advisory</t>
  </si>
  <si>
    <t>Partner Network</t>
  </si>
  <si>
    <t>2025-05-07</t>
  </si>
  <si>
    <t>VX-0026</t>
  </si>
  <si>
    <t>Orion Holdings</t>
  </si>
  <si>
    <t>2025-06-06</t>
  </si>
  <si>
    <t>2025-07-12</t>
  </si>
  <si>
    <t>VX-0027</t>
  </si>
  <si>
    <t>Priya</t>
  </si>
  <si>
    <t>Macro Capital</t>
  </si>
  <si>
    <t>2025-02-27</t>
  </si>
  <si>
    <t>2025-06-23</t>
  </si>
  <si>
    <t>2025-04-27</t>
  </si>
  <si>
    <t>VX-0028</t>
  </si>
  <si>
    <t>Claire</t>
  </si>
  <si>
    <t>Pretorius</t>
  </si>
  <si>
    <t>Eagle Finance</t>
  </si>
  <si>
    <t>2025-05-20</t>
  </si>
  <si>
    <t>2025-07-22</t>
  </si>
  <si>
    <t>VX-0029</t>
  </si>
  <si>
    <t>Brendan</t>
  </si>
  <si>
    <t>Blue Ventures</t>
  </si>
  <si>
    <t>2025-04-13</t>
  </si>
  <si>
    <t>2025-08-30</t>
  </si>
  <si>
    <t>2025-04-21</t>
  </si>
  <si>
    <t>VX-0030</t>
  </si>
  <si>
    <t>Jade Ventures</t>
  </si>
  <si>
    <t>2025-02-01</t>
  </si>
  <si>
    <t>2025-06-17</t>
  </si>
  <si>
    <t>2025-03-23</t>
  </si>
  <si>
    <t>VX-0031</t>
  </si>
  <si>
    <t>Cape Group</t>
  </si>
  <si>
    <t>Brokerage</t>
  </si>
  <si>
    <t>2025-02-08</t>
  </si>
  <si>
    <t>2025-05-28</t>
  </si>
  <si>
    <t>2025-02-12</t>
  </si>
  <si>
    <t>VX-0032</t>
  </si>
  <si>
    <t>Andile</t>
  </si>
  <si>
    <t>Eagle Holdings</t>
  </si>
  <si>
    <t>2025-05-10</t>
  </si>
  <si>
    <t>2025-06-16</t>
  </si>
  <si>
    <t>2025-05-30</t>
  </si>
  <si>
    <t>VX-0033</t>
  </si>
  <si>
    <t>2025-11-13</t>
  </si>
  <si>
    <t>VX-0034</t>
  </si>
  <si>
    <t>Apex Finance</t>
  </si>
  <si>
    <t>2025-02-02</t>
  </si>
  <si>
    <t>2025-03-09</t>
  </si>
  <si>
    <t>VX-0035</t>
  </si>
  <si>
    <t>2025-09-19</t>
  </si>
  <si>
    <t>2025-10-24</t>
  </si>
  <si>
    <t>VX-0036</t>
  </si>
  <si>
    <t>Apex Solutions</t>
  </si>
  <si>
    <t>2025-04-15</t>
  </si>
  <si>
    <t>2025-10-02</t>
  </si>
  <si>
    <t>VX-0037</t>
  </si>
  <si>
    <t>Frontier Solutions</t>
  </si>
  <si>
    <t>2026-02-04</t>
  </si>
  <si>
    <t>2025-09-22</t>
  </si>
  <si>
    <t>VX-0038</t>
  </si>
  <si>
    <t>Noble Investments</t>
  </si>
  <si>
    <t>2025-07-01</t>
  </si>
  <si>
    <t>VX-0039</t>
  </si>
  <si>
    <t>2025-12-05</t>
  </si>
  <si>
    <t>2025-08-24</t>
  </si>
  <si>
    <t>VX-0040</t>
  </si>
  <si>
    <t>Zanele</t>
  </si>
  <si>
    <t>Jade Partners</t>
  </si>
  <si>
    <t>2025-06-10</t>
  </si>
  <si>
    <t>VX-0041</t>
  </si>
  <si>
    <t>Meyer</t>
  </si>
  <si>
    <t>Blue Investments</t>
  </si>
  <si>
    <t>2025-04-19</t>
  </si>
  <si>
    <t>2025-07-19</t>
  </si>
  <si>
    <t>2025-05-09</t>
  </si>
  <si>
    <t>VX-0042</t>
  </si>
  <si>
    <t>Indigo Capital</t>
  </si>
  <si>
    <t>2025-02-06</t>
  </si>
  <si>
    <t>2025-02-19</t>
  </si>
  <si>
    <t>VX-0043</t>
  </si>
  <si>
    <t>2025-06-14</t>
  </si>
  <si>
    <t>2025-09-01</t>
  </si>
  <si>
    <t>VX-0044</t>
  </si>
  <si>
    <t>Orion Capital</t>
  </si>
  <si>
    <t>2025-03-13</t>
  </si>
  <si>
    <t>2025-06-27</t>
  </si>
  <si>
    <t>2025-04-24</t>
  </si>
  <si>
    <t>VX-0045</t>
  </si>
  <si>
    <t>Lion Asset Mgmt</t>
  </si>
  <si>
    <t>2025-07-17</t>
  </si>
  <si>
    <t>2025-09-10</t>
  </si>
  <si>
    <t>2025-09-14</t>
  </si>
  <si>
    <t>VX-0046</t>
  </si>
  <si>
    <t>2025-09-17</t>
  </si>
  <si>
    <t>2025-09-20</t>
  </si>
  <si>
    <t>VX-0047</t>
  </si>
  <si>
    <t>Horizon Ventures</t>
  </si>
  <si>
    <t>2025-09-13</t>
  </si>
  <si>
    <t>2025-12-11</t>
  </si>
  <si>
    <t>VX-0048</t>
  </si>
  <si>
    <t>Apex Investments</t>
  </si>
  <si>
    <t>2025-07-13</t>
  </si>
  <si>
    <t>2025-11-04</t>
  </si>
  <si>
    <t>2025-07-24</t>
  </si>
  <si>
    <t>VX-0049</t>
  </si>
  <si>
    <t>Horizon Finance</t>
  </si>
  <si>
    <t>2025-06-02</t>
  </si>
  <si>
    <t>VX-0050</t>
  </si>
  <si>
    <t>Delta Finance</t>
  </si>
  <si>
    <t>2025-09-25</t>
  </si>
  <si>
    <t>2025-09-02</t>
  </si>
  <si>
    <t>VX-0051</t>
  </si>
  <si>
    <t>Kestrel Solutions</t>
  </si>
  <si>
    <t>2025-06-24</t>
  </si>
  <si>
    <t>2025-10-15</t>
  </si>
  <si>
    <t>2025-08-22</t>
  </si>
  <si>
    <t>VX-0052</t>
  </si>
  <si>
    <t>2025-01-17</t>
  </si>
  <si>
    <t>2025-03-19</t>
  </si>
  <si>
    <t>2025-01-31</t>
  </si>
  <si>
    <t>VX-0053</t>
  </si>
  <si>
    <t>Kestrel Group</t>
  </si>
  <si>
    <t>2025-05-05</t>
  </si>
  <si>
    <t>2025-08-15</t>
  </si>
  <si>
    <t>VX-0054</t>
  </si>
  <si>
    <t>Gold Holdings</t>
  </si>
  <si>
    <t>2025-06-03</t>
  </si>
  <si>
    <t>VX-0055</t>
  </si>
  <si>
    <t>2025-05-11</t>
  </si>
  <si>
    <t>2025-09-28</t>
  </si>
  <si>
    <t>VX-0056</t>
  </si>
  <si>
    <t>Noble Holdings</t>
  </si>
  <si>
    <t>2025-05-06</t>
  </si>
  <si>
    <t>2025-06-26</t>
  </si>
  <si>
    <t>VX-0057</t>
  </si>
  <si>
    <t>Noble Ventures</t>
  </si>
  <si>
    <t>2025-06-01</t>
  </si>
  <si>
    <t>VX-0058</t>
  </si>
  <si>
    <t>2025-08-25</t>
  </si>
  <si>
    <t>2025-08-28</t>
  </si>
  <si>
    <t>VX-0059</t>
  </si>
  <si>
    <t>Kestrel Capital</t>
  </si>
  <si>
    <t>VX-0060</t>
  </si>
  <si>
    <t>Kestrel Ventures</t>
  </si>
  <si>
    <t>2025-07-08</t>
  </si>
  <si>
    <t>VX-0061</t>
  </si>
  <si>
    <t>2026-01-27</t>
  </si>
  <si>
    <t>VX-0062</t>
  </si>
  <si>
    <t>Eagle Asset Mgmt</t>
  </si>
  <si>
    <t>2025-05-25</t>
  </si>
  <si>
    <t>2025-06-22</t>
  </si>
  <si>
    <t>VX-0063</t>
  </si>
  <si>
    <t>2025-07-26</t>
  </si>
  <si>
    <t>VX-0064</t>
  </si>
  <si>
    <t>Frontier Advisory</t>
  </si>
  <si>
    <t>2025-07-03</t>
  </si>
  <si>
    <t>VX-0065</t>
  </si>
  <si>
    <t>2025-02-26</t>
  </si>
  <si>
    <t>2025-03-28</t>
  </si>
  <si>
    <t>2025-04-16</t>
  </si>
  <si>
    <t>VX-0066</t>
  </si>
  <si>
    <t>Eagle Ventures</t>
  </si>
  <si>
    <t>VX-0067</t>
  </si>
  <si>
    <t>Indigo Ventures</t>
  </si>
  <si>
    <t>2025-08-14</t>
  </si>
  <si>
    <t>2025-09-27</t>
  </si>
  <si>
    <t>VX-0068</t>
  </si>
  <si>
    <t>Orion Partners</t>
  </si>
  <si>
    <t>2025-11-14</t>
  </si>
  <si>
    <t>2025-09-06</t>
  </si>
  <si>
    <t>VX-0069</t>
  </si>
  <si>
    <t>2025-10-25</t>
  </si>
  <si>
    <t>VX-0070</t>
  </si>
  <si>
    <t>2025-11-15</t>
  </si>
  <si>
    <t>2025-08-11</t>
  </si>
  <si>
    <t>VX-0071</t>
  </si>
  <si>
    <t>2025-02-17</t>
  </si>
  <si>
    <t>2025-05-22</t>
  </si>
  <si>
    <t>VX-0072</t>
  </si>
  <si>
    <t>Gold Solutions</t>
  </si>
  <si>
    <t>2025-12-28</t>
  </si>
  <si>
    <t>VX-0073</t>
  </si>
  <si>
    <t>Lion Partners</t>
  </si>
  <si>
    <t>2025-05-12</t>
  </si>
  <si>
    <t>2025-05-31</t>
  </si>
  <si>
    <t>VX-0074</t>
  </si>
  <si>
    <t>Noble Partners</t>
  </si>
  <si>
    <t>2025-03-22</t>
  </si>
  <si>
    <t>2025-04-06</t>
  </si>
  <si>
    <t>VX-0075</t>
  </si>
  <si>
    <t>Blue Holdings</t>
  </si>
  <si>
    <t>2025-02-04</t>
  </si>
  <si>
    <t>VX-0076</t>
  </si>
  <si>
    <t>2025-08-07</t>
  </si>
  <si>
    <t>VX-0077</t>
  </si>
  <si>
    <t>Frontier Investments</t>
  </si>
  <si>
    <t>VX-0078</t>
  </si>
  <si>
    <t>2025-11-08</t>
  </si>
  <si>
    <t>2025-05-27</t>
  </si>
  <si>
    <t>VX-0079</t>
  </si>
  <si>
    <t>2025-03-06</t>
  </si>
  <si>
    <t>2025-04-14</t>
  </si>
  <si>
    <t>2025-04-08</t>
  </si>
  <si>
    <t>VX-0080</t>
  </si>
  <si>
    <t>2025-01-28</t>
  </si>
  <si>
    <t>2025-03-26</t>
  </si>
  <si>
    <t>VX-0081</t>
  </si>
  <si>
    <t>Horizon Advisory</t>
  </si>
  <si>
    <t>2025-12-12</t>
  </si>
  <si>
    <t>VX-0082</t>
  </si>
  <si>
    <t>2025-03-21</t>
  </si>
  <si>
    <t>2025-09-16</t>
  </si>
  <si>
    <t>2025-03-31</t>
  </si>
  <si>
    <t>VX-0083</t>
  </si>
  <si>
    <t>Indigo Advisory</t>
  </si>
  <si>
    <t>2025-08-16</t>
  </si>
  <si>
    <t>VX-0084</t>
  </si>
  <si>
    <t>Horizon Capital</t>
  </si>
  <si>
    <t>2025-05-19</t>
  </si>
  <si>
    <t>2025-08-09</t>
  </si>
  <si>
    <t>VX-0085</t>
  </si>
  <si>
    <t>Cape Advisory</t>
  </si>
  <si>
    <t>2025-10-17</t>
  </si>
  <si>
    <t>VX-0086</t>
  </si>
  <si>
    <t>2025-03-15</t>
  </si>
  <si>
    <t>2025-03-25</t>
  </si>
  <si>
    <t>VX-0087</t>
  </si>
  <si>
    <t>Delta Advisory</t>
  </si>
  <si>
    <t>2025-06-08</t>
  </si>
  <si>
    <t>2025-06-19</t>
  </si>
  <si>
    <t>VX-0088</t>
  </si>
  <si>
    <t>Macro Advisory</t>
  </si>
  <si>
    <t>2025-01-03</t>
  </si>
  <si>
    <t>2025-01-15</t>
  </si>
  <si>
    <t>VX-0089</t>
  </si>
  <si>
    <t>Kestrel Asset Mgmt</t>
  </si>
  <si>
    <t>2025-12-10</t>
  </si>
  <si>
    <t>VX-0090</t>
  </si>
  <si>
    <t>2025-06-21</t>
  </si>
  <si>
    <t>VX-0091</t>
  </si>
  <si>
    <t>Cape Partners</t>
  </si>
  <si>
    <t>2025-06-18</t>
  </si>
  <si>
    <t>VX-0092</t>
  </si>
  <si>
    <t>2025-01-13</t>
  </si>
  <si>
    <t>2025-02-13</t>
  </si>
  <si>
    <t>VX-0093</t>
  </si>
  <si>
    <t>Jade Investments</t>
  </si>
  <si>
    <t>2025-11-21</t>
  </si>
  <si>
    <t>VX-0094</t>
  </si>
  <si>
    <t>2025-09-04</t>
  </si>
  <si>
    <t>2025-10-14</t>
  </si>
  <si>
    <t>VX-0095</t>
  </si>
  <si>
    <t>Eagle Group</t>
  </si>
  <si>
    <t>2025-12-19</t>
  </si>
  <si>
    <t>VX-0096</t>
  </si>
  <si>
    <t>2025-09-24</t>
  </si>
  <si>
    <t>VX-0097</t>
  </si>
  <si>
    <t>2025-10-20</t>
  </si>
  <si>
    <t>2025-07-31</t>
  </si>
  <si>
    <t>VX-0098</t>
  </si>
  <si>
    <t>2025-06-09</t>
  </si>
  <si>
    <t>2025-08-03</t>
  </si>
  <si>
    <t>2025-07-11</t>
  </si>
  <si>
    <t>VX-0099</t>
  </si>
  <si>
    <t>2025-12-13</t>
  </si>
  <si>
    <t>VX-0100</t>
  </si>
  <si>
    <t>2025-09-30</t>
  </si>
  <si>
    <t>VX-0101</t>
  </si>
  <si>
    <t>Noble Finance</t>
  </si>
  <si>
    <t>2025-05-03</t>
  </si>
  <si>
    <t>VX-0102</t>
  </si>
  <si>
    <t>2025-05-24</t>
  </si>
  <si>
    <t>VX-0103</t>
  </si>
  <si>
    <t>2025-05-16</t>
  </si>
  <si>
    <t>VX-0104</t>
  </si>
  <si>
    <t>Frontier Ventures</t>
  </si>
  <si>
    <t>2025-01-04</t>
  </si>
  <si>
    <t>2025-06-20</t>
  </si>
  <si>
    <t>2025-01-22</t>
  </si>
  <si>
    <t>VX-0105</t>
  </si>
  <si>
    <t>VX-0106</t>
  </si>
  <si>
    <t>Jade Capital</t>
  </si>
  <si>
    <t>2025-01-06</t>
  </si>
  <si>
    <t>2025-03-04</t>
  </si>
  <si>
    <t>VX-0107</t>
  </si>
  <si>
    <t>Jade Group</t>
  </si>
  <si>
    <t>2025-11-27</t>
  </si>
  <si>
    <t>VX-0108</t>
  </si>
  <si>
    <t>Lion Advisory</t>
  </si>
  <si>
    <t>2025-07-20</t>
  </si>
  <si>
    <t>VX-0109</t>
  </si>
  <si>
    <t>2025-12-16</t>
  </si>
  <si>
    <t>2025-08-17</t>
  </si>
  <si>
    <t>VX-0110</t>
  </si>
  <si>
    <t>Lion Holdings</t>
  </si>
  <si>
    <t>2025-02-07</t>
  </si>
  <si>
    <t>2025-03-16</t>
  </si>
  <si>
    <t>2025-03-18</t>
  </si>
  <si>
    <t>VX-0111</t>
  </si>
  <si>
    <t>VX-0112</t>
  </si>
  <si>
    <t>VX-0113</t>
  </si>
  <si>
    <t>2025-06-28</t>
  </si>
  <si>
    <t>2025-08-01</t>
  </si>
  <si>
    <t>VX-0114</t>
  </si>
  <si>
    <t>Lion Investments</t>
  </si>
  <si>
    <t>2025-12-23</t>
  </si>
  <si>
    <t>2025-09-29</t>
  </si>
  <si>
    <t>VX-0115</t>
  </si>
  <si>
    <t>Kestrel Advisory</t>
  </si>
  <si>
    <t>2025-03-02</t>
  </si>
  <si>
    <t>2025-04-02</t>
  </si>
  <si>
    <t>2025-03-03</t>
  </si>
  <si>
    <t>VX-0116</t>
  </si>
  <si>
    <t>2026-01-06</t>
  </si>
  <si>
    <t>VX-0117</t>
  </si>
  <si>
    <t>Gold Asset Mgmt</t>
  </si>
  <si>
    <t>2025-08-31</t>
  </si>
  <si>
    <t>VX-0118</t>
  </si>
  <si>
    <t>Gold Advisory</t>
  </si>
  <si>
    <t>2025-02-18</t>
  </si>
  <si>
    <t>VX-0119</t>
  </si>
  <si>
    <t>VX-0120</t>
  </si>
  <si>
    <t>2025-01-07</t>
  </si>
  <si>
    <t>VX-0121</t>
  </si>
  <si>
    <t>2025-10-27</t>
  </si>
  <si>
    <t>2025-08-26</t>
  </si>
  <si>
    <t>VX-0122</t>
  </si>
  <si>
    <t>Delta Asset Mgmt</t>
  </si>
  <si>
    <t>2025-07-16</t>
  </si>
  <si>
    <t>2025-07-18</t>
  </si>
  <si>
    <t>VX-0123</t>
  </si>
  <si>
    <t>Cape Holdings</t>
  </si>
  <si>
    <t>2025-04-20</t>
  </si>
  <si>
    <t>VX-0124</t>
  </si>
  <si>
    <t>Orion Solutions</t>
  </si>
  <si>
    <t>VX-0125</t>
  </si>
  <si>
    <t>Lion Group</t>
  </si>
  <si>
    <t>VX-0126</t>
  </si>
  <si>
    <t>2025-11-19</t>
  </si>
  <si>
    <t>VX-0127</t>
  </si>
  <si>
    <t>Jade Finance</t>
  </si>
  <si>
    <t>2025-02-20</t>
  </si>
  <si>
    <t>VX-0128</t>
  </si>
  <si>
    <t>VX-0129</t>
  </si>
  <si>
    <t>2025-12-08</t>
  </si>
  <si>
    <t>VX-0130</t>
  </si>
  <si>
    <t>2025-07-29</t>
  </si>
  <si>
    <t>2025-03-30</t>
  </si>
  <si>
    <t>VX-0131</t>
  </si>
  <si>
    <t>Macro Finance</t>
  </si>
  <si>
    <t>VX-0132</t>
  </si>
  <si>
    <t>Cape Investments</t>
  </si>
  <si>
    <t>VX-0133</t>
  </si>
  <si>
    <t>2025-07-21</t>
  </si>
  <si>
    <t>2025-12-26</t>
  </si>
  <si>
    <t>VX-0134</t>
  </si>
  <si>
    <t>2025-05-08</t>
  </si>
  <si>
    <t>VX-0135</t>
  </si>
  <si>
    <t>2025-07-25</t>
  </si>
  <si>
    <t>VX-0136</t>
  </si>
  <si>
    <t>2025-07-05</t>
  </si>
  <si>
    <t>VX-0137</t>
  </si>
  <si>
    <t>2025-01-23</t>
  </si>
  <si>
    <t>VX-0138</t>
  </si>
  <si>
    <t>Horizon Partners</t>
  </si>
  <si>
    <t>VX-0139</t>
  </si>
  <si>
    <t>VX-0140</t>
  </si>
  <si>
    <t>Noble Capital</t>
  </si>
  <si>
    <t>VX-0141</t>
  </si>
  <si>
    <t>VX-0142</t>
  </si>
  <si>
    <t>VX-0143</t>
  </si>
  <si>
    <t>Delta Holdings</t>
  </si>
  <si>
    <t>2025-03-12</t>
  </si>
  <si>
    <t>VX-0144</t>
  </si>
  <si>
    <t>2026-01-07</t>
  </si>
  <si>
    <t>VX-0145</t>
  </si>
  <si>
    <t>VX-0146</t>
  </si>
  <si>
    <t>2025-10-13</t>
  </si>
  <si>
    <t>VX-0147</t>
  </si>
  <si>
    <t>2025-04-17</t>
  </si>
  <si>
    <t>VX-0148</t>
  </si>
  <si>
    <t>Jade Advisory</t>
  </si>
  <si>
    <t>VX-0149</t>
  </si>
  <si>
    <t>VX-0150</t>
  </si>
  <si>
    <t>Horizon Investments</t>
  </si>
  <si>
    <t>2025-10-09</t>
  </si>
  <si>
    <t>2025-05-04</t>
  </si>
  <si>
    <t>WEIGHTED REVENUE FORECAST MODEL  –  FY2025</t>
  </si>
  <si>
    <t>Vertex Capital  |  R850m Annual Target</t>
  </si>
  <si>
    <t>FORECAST ASSUMPTIONS  (Blue = adjustable inputs)</t>
  </si>
  <si>
    <t>Annual Revenue Target (R)</t>
  </si>
  <si>
    <t>Forecast Confidence Factor</t>
  </si>
  <si>
    <t>Q4 Stretch Multiplier</t>
  </si>
  <si>
    <t>Average Deal Cycle (days)</t>
  </si>
  <si>
    <t>QUARTERLY PIPELINE &amp; FORECAST SUMMARY</t>
  </si>
  <si>
    <t>Total Deals</t>
  </si>
  <si>
    <t>Open Value (R)</t>
  </si>
  <si>
    <t>Closed Won (R)</t>
  </si>
  <si>
    <t>Closed Lost (R)</t>
  </si>
  <si>
    <t>Forecast (R)</t>
  </si>
  <si>
    <t>vs Target (R)</t>
  </si>
  <si>
    <t>Attainment %</t>
  </si>
  <si>
    <t>TOTAL / FY2025</t>
  </si>
  <si>
    <t>PIPELINE VALUE BY STAGE</t>
  </si>
  <si>
    <t>Deal Count</t>
  </si>
  <si>
    <t>Total Value (R)</t>
  </si>
  <si>
    <t>Avg Deal Size (R)</t>
  </si>
  <si>
    <t>% of Pipeline</t>
  </si>
  <si>
    <t>SALES REP PERFORMANCE TRACKER  –  FY2025</t>
  </si>
  <si>
    <t>Vertex Capital  |  Individual Pipeline &amp; Attainment</t>
  </si>
  <si>
    <t>Pipeline Value (R)</t>
  </si>
  <si>
    <t>Win Rate</t>
  </si>
  <si>
    <t>vs Individual Target (R)</t>
  </si>
  <si>
    <t>Ranking</t>
  </si>
  <si>
    <t>VERTEX CAPITAL  –  PIPELINE INTELLIGENCE DASHBOARD</t>
  </si>
  <si>
    <t>FY2025  |  Sales &amp; Revenue Analytics  |  Analyst: [Your Name]</t>
  </si>
  <si>
    <t>Total Pipeline Value</t>
  </si>
  <si>
    <t>Weighted Forecast</t>
  </si>
  <si>
    <t>Closed Won YTD</t>
  </si>
  <si>
    <t>Active Deals</t>
  </si>
  <si>
    <t>Stale Deals (&gt;90d)</t>
  </si>
  <si>
    <t>Forecast Attainment</t>
  </si>
  <si>
    <t>R 6.75B</t>
  </si>
  <si>
    <t>R 2454M</t>
  </si>
  <si>
    <t>R 929M</t>
  </si>
  <si>
    <t>119</t>
  </si>
  <si>
    <t>95</t>
  </si>
  <si>
    <t>354.7%</t>
  </si>
  <si>
    <t>All 150 deals</t>
  </si>
  <si>
    <t>Prob-adjusted</t>
  </si>
  <si>
    <t>19 deals</t>
  </si>
  <si>
    <t>In pipeline</t>
  </si>
  <si>
    <t>Need review</t>
  </si>
  <si>
    <t>vs R850m target</t>
  </si>
  <si>
    <t>PIPELINE BY STAGE</t>
  </si>
  <si>
    <t>PIPELINE BY REGION</t>
  </si>
  <si>
    <t>Deals</t>
  </si>
  <si>
    <t>Weighted (R)</t>
  </si>
  <si>
    <t>% Share</t>
  </si>
  <si>
    <t>Avg Deal (R)</t>
  </si>
  <si>
    <t>PIPELINE BY PRODUCT</t>
  </si>
  <si>
    <t>PIPELINE BY CHANNEL</t>
  </si>
  <si>
    <t>MODEL ASSUMPTIONS &amp; DATA DICTIONARY</t>
  </si>
  <si>
    <t>FORECAST MODEL</t>
  </si>
  <si>
    <t>Annual Target</t>
  </si>
  <si>
    <t>R850,000,000</t>
  </si>
  <si>
    <t>Vertex Capital FY2025 board-approved revenue target</t>
  </si>
  <si>
    <t>Confidence Factor</t>
  </si>
  <si>
    <t>85%</t>
  </si>
  <si>
    <t>Applied to weighted pipeline to produce conservative forecast</t>
  </si>
  <si>
    <t>Weighted Value</t>
  </si>
  <si>
    <t>Deal Value × Probability %</t>
  </si>
  <si>
    <t>Stage-based probability applied to each deal</t>
  </si>
  <si>
    <t>Stale Deal Threshold</t>
  </si>
  <si>
    <t>&gt;90 days open</t>
  </si>
  <si>
    <t>Deals open longer than 90 days flagged for review</t>
  </si>
  <si>
    <t>STAGE PROBABILITIES</t>
  </si>
  <si>
    <t>5%</t>
  </si>
  <si>
    <t>Initial identification – very early, unqualified</t>
  </si>
  <si>
    <t>15%</t>
  </si>
  <si>
    <t>Needs confirmed, budget identified</t>
  </si>
  <si>
    <t>35%</t>
  </si>
  <si>
    <t>Formal proposal submitted</t>
  </si>
  <si>
    <t>60%</t>
  </si>
  <si>
    <t>Commercial terms being discussed</t>
  </si>
  <si>
    <t>100%</t>
  </si>
  <si>
    <t>Deal signed and booked</t>
  </si>
  <si>
    <t>0%</t>
  </si>
  <si>
    <t>Deal lost to competitor or abandoned</t>
  </si>
  <si>
    <t>10%</t>
  </si>
  <si>
    <t>Paused – re-engage next quarter</t>
  </si>
  <si>
    <t>DATA NOTES</t>
  </si>
  <si>
    <t>Dataset</t>
  </si>
  <si>
    <t>150 simulated B2B deals</t>
  </si>
  <si>
    <t>All company names, contacts and values are fictitious</t>
  </si>
  <si>
    <t>Currency</t>
  </si>
  <si>
    <t>South African Rand (ZAR/R)</t>
  </si>
  <si>
    <t>All monetary values in ZAR</t>
  </si>
  <si>
    <t>Rep Targets</t>
  </si>
  <si>
    <t>R850m ÷ 8 reps = R106.25m</t>
  </si>
  <si>
    <t>Equal individual targets assumed for simplicity</t>
  </si>
  <si>
    <t>DISCLAIMER</t>
  </si>
  <si>
    <t>This workbook is a portfolio case study. It does not represent actual Vertex Capital data, clients or proprietary methodology. Created for skills demonstration purposes only.</t>
  </si>
  <si>
    <t>Owami Monaheng</t>
  </si>
  <si>
    <t>Owami Monaheng  –  Junior Business Analyst, Revenue Intelligence</t>
  </si>
  <si>
    <t>Grand Total</t>
  </si>
  <si>
    <t>Sum of Total Value (R)</t>
  </si>
  <si>
    <t>Row Labels</t>
  </si>
  <si>
    <t>Sum of Weighted (R)</t>
  </si>
  <si>
    <t>(blank)</t>
  </si>
  <si>
    <t>On regional concentration risk — yes, there is a meaningful one:</t>
  </si>
  <si>
    <t>The top two regions (Gauteng + Western Cape) account for about R4.36 billion, or roughly 65% of total pipeline value, from just 98 of the 150 deals. If either of those regions softens — due to economic conditions, competitive pressure, or key rep attrition — the overall pipeline takes a significant hit.</t>
  </si>
  <si>
    <t>A few other things worth flagging:</t>
  </si>
  <si>
    <t>The short answer: yes, there's concentration risk in Gauteng, and the Eastern Cape numbers are inflating the pipeline on paper without delivering real revenue.</t>
  </si>
  <si>
    <t>Gauteng dominates the pipeline — it contributes R2.78 billion, which is roughly 44% of the total pipeline value (R6.75 billion across all regions). It also has the highest deal count at 59.</t>
  </si>
  <si>
    <t>Win rate vs. value mismatch. KwaZulu-Natal has the highest win rate (20.8%) but only 24 deals and R1.2 billion in value. That's an underinvested region with strong conversion — there may be upside there if resources were added.</t>
  </si>
  <si>
    <t>Eastern Cape is a concern. 21 deals and R935 million in value, but a win rate of only 4.8%. That's a lot of pipeline that likely won't close — so its effective contribution is much lower than the headline number suggests.</t>
  </si>
  <si>
    <t>Free State is negligible at 7 deals and R237 million, with a 0% win rate.</t>
  </si>
  <si>
    <t>Count of Stage</t>
  </si>
  <si>
    <t>Sum of Deal Value (R)</t>
  </si>
  <si>
    <t>Average of Deal Value (R)</t>
  </si>
  <si>
    <t>Each question answered with: written insight, key number, recommendation.</t>
  </si>
  <si>
    <t>Written Insight</t>
  </si>
  <si>
    <t>Key Number</t>
  </si>
  <si>
    <t>Recommendation</t>
  </si>
  <si>
    <t>What is the total pipeline value and weighted forecast value?</t>
  </si>
  <si>
    <t>Total pipeline: R6.75B across 150 deals. Weighted forecast (prob-adjusted): R2454M. Applying the 85% confidence factor gives a conservative forecast of R3015M against the R850M target.</t>
  </si>
  <si>
    <t>Forecast Attainment: 354.7%</t>
  </si>
  <si>
    <t>The pipeline is sizeable but the weighted value suggests significant deals are still in early stages. Focus must shift to converting Proposal and Negotiation stage deals before year-end.</t>
  </si>
  <si>
    <t>How are deals distributed across pipeline stages?</t>
  </si>
  <si>
    <t>The largest volume sits in Qualified (24 deals) and Proposal (41 deals). The biggest drop-off is between Proposal and Negotiation — indicating proposals are not converting to serious commercial discussions at a sufficient rate.</t>
  </si>
  <si>
    <t>Closed Won: 19 deals  |  R929M</t>
  </si>
  <si>
    <t>The BD team should review why Proposal-stage deals are stalling. A proposal quality audit and structured follow-up cadence could improve conversion at this critical stage.</t>
  </si>
  <si>
    <t>Which sales rep has the highest weighted pipeline? Who is furthest from target?</t>
  </si>
  <si>
    <t>Rep performance varies significantly. The individual target per rep is R106.2M. Top performers have weighted pipelines above target; bottom performers likely have too many early-stage deals that inflate volume without contributing to forecast.</t>
  </si>
  <si>
    <t>Individual Target: R106M per rep</t>
  </si>
  <si>
    <t>Reps below 50% attainment should receive pipeline coaching. Prioritise reps with high deal counts but low weighted values — their deals are concentrated in low-probability stages.</t>
  </si>
  <si>
    <t>Which product generates the most pipeline value?</t>
  </si>
  <si>
    <t>Pipeline value by product shows concentration in 2–3 core products. Products like Structured Lending and Corporate Finance tend to carry the largest individual deal sizes. Products with high deal counts but low average values indicate SME-level activity.</t>
  </si>
  <si>
    <t>Top product by value: see Rep Performance sheet</t>
  </si>
  <si>
    <t>Invest BD resources in the 2–3 highest-value products. Consider whether lower-value products justify the pipeline management overhead or should be deprioritised this quarter.</t>
  </si>
  <si>
    <t>Are we on track to hit R850M?</t>
  </si>
  <si>
    <t>Current forecast (Won + Weighted × 85%) = R3015M. This represents 354.7% of the R850M target. With Q4 remaining, the team needs to accelerate closures — particularly the 22 deals in Negotiation stage worth R1103M.</t>
  </si>
  <si>
    <t>Forecast exceeds target by: R2165M</t>
  </si>
  <si>
    <t>Close every Negotiation-stage deal in Q4. Even converting 50% would materially close the gap. The Sales Director should personally review the top 10 deals by weighted value weekly.</t>
  </si>
  <si>
    <t>Which region contributes most to the pipeline?</t>
  </si>
  <si>
    <t>Gauteng dominates with ~40% of deal volume, reflecting the concentration of SA's financial services sector. Western Cape is second. Eastern Cape and Free State are underrepresented relative to their economic activity — suggesting untapped regional opportunity.</t>
  </si>
  <si>
    <t>Gauteng share: ~41% of pipeline</t>
  </si>
  <si>
    <t>Consider assigning a dedicated BD resource to Eastern Cape and Free State. A regional event or broker partnership in these areas could build pipeline at lower cost than direct BD.</t>
  </si>
  <si>
    <t>Which acquisition channel produces the highest average deal value?</t>
  </si>
  <si>
    <t>Referral channels (Referral – Client and Referral – Broker) consistently produce larger deals than outbound channels. Direct BD has the highest volume but mid-range deal sizes. Digital Inbound produces smaller deals — useful for top-of-funnel but not for large-ticket revenue.</t>
  </si>
  <si>
    <t>Referral channels: highest avg deal value</t>
  </si>
  <si>
    <t>Formalise the client referral programme. A structured ask-for-referral process at deal closure could meaningfully increase pipeline quality without additional BD headcount.</t>
  </si>
  <si>
    <t>Which deals have been open for more than 90 days with no progression?</t>
  </si>
  <si>
    <t>There are 95 stale deals (open &gt;90 days) flagged in the Stale column of the Deal Data sheet. These represent pipeline clutter — deals that are unlikely to close but inflate reported pipeline value and distort forecasting accuracy.</t>
  </si>
  <si>
    <t>Stale deals: 95 of 150 total</t>
  </si>
  <si>
    <t>Run a stale deal review session. Each rep must either advance, place on hold, or mark as lost every stale deal within 2 weeks. Remove Won/Lost from active pipeline reporting to improve forecast accuracy.</t>
  </si>
  <si>
    <t xml:space="preserve">VERTEX CAPITAL  |  COMPLETED ANALYSIS  </t>
  </si>
  <si>
    <t>(All)</t>
  </si>
  <si>
    <t>V3-V3.5</t>
  </si>
  <si>
    <t>Sum of Avg Deal Size (R)</t>
  </si>
  <si>
    <t xml:space="preserve">Conversion rate </t>
  </si>
  <si>
    <t xml:space="preserve">Sum of Conversion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</si>
</sst>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
    <numFmt numFmtId="165" formatCode="\R#,##0"/>
    <numFmt numFmtId="166" formatCode="0.00\x"/>
    <numFmt numFmtId="167" formatCode="0.0%"/>
  </numFmts>
  <fonts count="29" x14ac:knownFonts="1">
    <font>
      <sz val="11"/>
      <color theme="1"/>
      <name val="Calibri"/>
      <family val="2"/>
      <scheme val="minor"/>
    </font>
    <font>
      <b/>
      <sz val="15"/>
      <color rgb="FFFFFFFF"/>
      <name val="Arial"/>
      <family val="2"/>
    </font>
    <font>
      <sz val="10"/>
      <color rgb="FFD0D7DE"/>
      <name val="Arial"/>
      <family val="2"/>
    </font>
    <font>
      <b/>
      <sz val="10"/>
      <color rgb="FF1B6CA8"/>
      <name val="Arial"/>
      <family val="2"/>
    </font>
    <font>
      <sz val="10"/>
      <name val="Arial"/>
      <family val="2"/>
    </font>
    <font>
      <b/>
      <sz val="10"/>
      <color rgb="FFFFFFFF"/>
      <name val="Arial"/>
      <family val="2"/>
    </font>
    <font>
      <b/>
      <sz val="9"/>
      <color rgb="FFFFFFFF"/>
      <name val="Arial"/>
      <family val="2"/>
    </font>
    <font>
      <b/>
      <sz val="9"/>
      <color rgb="FF202020"/>
      <name val="Arial"/>
      <family val="2"/>
    </font>
    <font>
      <sz val="9"/>
      <color rgb="FF202020"/>
      <name val="Arial"/>
      <family val="2"/>
    </font>
    <font>
      <sz val="9"/>
      <color rgb="FF1A7F4B"/>
      <name val="Arial"/>
      <family val="2"/>
    </font>
    <font>
      <sz val="9"/>
      <color rgb="FFD4A843"/>
      <name val="Arial"/>
      <family val="2"/>
    </font>
    <font>
      <b/>
      <sz val="9"/>
      <name val="Arial"/>
      <family val="2"/>
    </font>
    <font>
      <sz val="9"/>
      <name val="Arial"/>
      <family val="2"/>
    </font>
    <font>
      <sz val="9"/>
      <color rgb="FFC0392B"/>
      <name val="Arial"/>
      <family val="2"/>
    </font>
    <font>
      <b/>
      <sz val="9"/>
      <color rgb="FF0000FF"/>
      <name val="Arial"/>
      <family val="2"/>
    </font>
    <font>
      <b/>
      <sz val="15"/>
      <color rgb="FF0D1B2A"/>
      <name val="Arial"/>
      <family val="2"/>
    </font>
    <font>
      <sz val="8"/>
      <color rgb="FF707070"/>
      <name val="Arial"/>
      <family val="2"/>
    </font>
    <font>
      <b/>
      <sz val="9"/>
      <color rgb="FF1B6CA8"/>
      <name val="Arial"/>
      <family val="2"/>
    </font>
    <font>
      <sz val="10"/>
      <name val="Arial"/>
      <family val="2"/>
    </font>
    <font>
      <sz val="9"/>
      <color rgb="FF202020"/>
      <name val="Arial"/>
      <family val="2"/>
    </font>
    <font>
      <b/>
      <sz val="15"/>
      <color theme="1"/>
      <name val="Calibri"/>
      <family val="2"/>
      <scheme val="minor"/>
    </font>
    <font>
      <b/>
      <sz val="9"/>
      <color rgb="FFFFFFFF"/>
      <name val="Arial"/>
      <family val="2"/>
    </font>
    <font>
      <b/>
      <sz val="10"/>
      <color rgb="FFFFFFFF"/>
      <name val="Arial"/>
      <family val="2"/>
    </font>
    <font>
      <sz val="9"/>
      <name val="Arial"/>
      <family val="2"/>
    </font>
    <font>
      <b/>
      <sz val="14"/>
      <color rgb="FFFFFFFF"/>
      <name val="Arial"/>
      <family val="2"/>
    </font>
    <font>
      <i/>
      <sz val="10"/>
      <color rgb="FF404040"/>
      <name val="Arial"/>
      <family val="2"/>
    </font>
    <font>
      <b/>
      <sz val="9"/>
      <color rgb="FF1B6CA8"/>
      <name val="Arial"/>
      <family val="2"/>
    </font>
    <font>
      <b/>
      <sz val="9"/>
      <color rgb="FF1A7F4B"/>
      <name val="Arial"/>
      <family val="2"/>
    </font>
    <font>
      <sz val="16"/>
      <color theme="1"/>
      <name val="Calibri"/>
      <family val="2"/>
      <scheme val="minor"/>
    </font>
  </fonts>
  <fills count="12">
    <fill>
      <patternFill patternType="none"/>
    </fill>
    <fill>
      <patternFill patternType="gray125"/>
    </fill>
    <fill>
      <patternFill patternType="solid">
        <fgColor rgb="FF0D1B2A"/>
      </patternFill>
    </fill>
    <fill>
      <patternFill patternType="solid">
        <fgColor rgb="FFD4A843"/>
      </patternFill>
    </fill>
    <fill>
      <patternFill patternType="solid">
        <fgColor rgb="FFF4F6F8"/>
      </patternFill>
    </fill>
    <fill>
      <patternFill patternType="solid">
        <fgColor rgb="FFFFFFFF"/>
      </patternFill>
    </fill>
    <fill>
      <patternFill patternType="solid">
        <fgColor rgb="FF1B6CA8"/>
      </patternFill>
    </fill>
    <fill>
      <patternFill patternType="solid">
        <fgColor rgb="FF2196C4"/>
      </patternFill>
    </fill>
    <fill>
      <patternFill patternType="solid">
        <fgColor rgb="FF92D050"/>
        <bgColor indexed="64"/>
      </patternFill>
    </fill>
    <fill>
      <patternFill patternType="solid">
        <fgColor rgb="FFC00000"/>
        <bgColor indexed="64"/>
      </patternFill>
    </fill>
    <fill>
      <patternFill patternType="solid">
        <fgColor theme="1"/>
        <bgColor indexed="64"/>
      </patternFill>
    </fill>
    <fill>
      <patternFill patternType="solid">
        <fgColor rgb="FFFF0000"/>
        <bgColor indexed="64"/>
      </patternFill>
    </fill>
  </fills>
  <borders count="10">
    <border>
      <left/>
      <right/>
      <top/>
      <bottom/>
      <diagonal/>
    </border>
    <border>
      <left style="thin">
        <color rgb="FFC8CDD2"/>
      </left>
      <right style="thin">
        <color rgb="FFC8CDD2"/>
      </right>
      <top style="thin">
        <color rgb="FFC8CDD2"/>
      </top>
      <bottom style="thin">
        <color rgb="FFC8CDD2"/>
      </bottom>
      <diagonal/>
    </border>
    <border>
      <left style="thin">
        <color rgb="FFC8CDD2"/>
      </left>
      <right/>
      <top style="thin">
        <color rgb="FFC8CDD2"/>
      </top>
      <bottom style="thin">
        <color rgb="FFC8CDD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C8CDD2"/>
      </left>
      <right style="thin">
        <color rgb="FFC8CDD2"/>
      </right>
      <top/>
      <bottom/>
      <diagonal/>
    </border>
    <border>
      <left/>
      <right style="thin">
        <color rgb="FFC8CDD2"/>
      </right>
      <top/>
      <bottom/>
      <diagonal/>
    </border>
  </borders>
  <cellStyleXfs count="1">
    <xf numFmtId="0" fontId="0" fillId="0" borderId="0"/>
  </cellStyleXfs>
  <cellXfs count="106">
    <xf numFmtId="0" fontId="0" fillId="0" borderId="0" xfId="0"/>
    <xf numFmtId="0" fontId="0" fillId="3" borderId="0" xfId="0" applyFill="1"/>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164" fontId="8" fillId="4" borderId="1" xfId="0" applyNumberFormat="1" applyFont="1" applyFill="1" applyBorder="1" applyAlignment="1">
      <alignment horizontal="left" vertical="center" wrapText="1"/>
    </xf>
    <xf numFmtId="165" fontId="8" fillId="4" borderId="1" xfId="0" applyNumberFormat="1" applyFont="1" applyFill="1" applyBorder="1" applyAlignment="1">
      <alignment horizontal="left" vertical="center" wrapText="1"/>
    </xf>
    <xf numFmtId="0" fontId="13" fillId="4" borderId="1" xfId="0" applyFont="1" applyFill="1" applyBorder="1" applyAlignment="1">
      <alignment horizontal="left" vertical="center" wrapText="1"/>
    </xf>
    <xf numFmtId="164" fontId="8" fillId="5" borderId="1" xfId="0" applyNumberFormat="1" applyFont="1" applyFill="1" applyBorder="1" applyAlignment="1">
      <alignment horizontal="left" vertical="center" wrapText="1"/>
    </xf>
    <xf numFmtId="165" fontId="8" fillId="5" borderId="1" xfId="0" applyNumberFormat="1" applyFont="1" applyFill="1" applyBorder="1" applyAlignment="1">
      <alignment horizontal="left" vertical="center" wrapText="1"/>
    </xf>
    <xf numFmtId="0" fontId="13" fillId="5"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165" fontId="14" fillId="4" borderId="1" xfId="0" applyNumberFormat="1" applyFont="1" applyFill="1" applyBorder="1" applyAlignment="1">
      <alignment horizontal="center" vertical="center" wrapText="1"/>
    </xf>
    <xf numFmtId="9" fontId="14" fillId="4" borderId="1" xfId="0" applyNumberFormat="1" applyFont="1" applyFill="1" applyBorder="1" applyAlignment="1">
      <alignment horizontal="center" vertical="center" wrapText="1"/>
    </xf>
    <xf numFmtId="166" fontId="14"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165" fontId="9" fillId="4" borderId="1" xfId="0" applyNumberFormat="1" applyFont="1" applyFill="1" applyBorder="1" applyAlignment="1">
      <alignment horizontal="center" vertical="center" wrapText="1"/>
    </xf>
    <xf numFmtId="167" fontId="8" fillId="4" borderId="1"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65" fontId="9" fillId="5" borderId="1" xfId="0" applyNumberFormat="1" applyFont="1" applyFill="1" applyBorder="1" applyAlignment="1">
      <alignment horizontal="center" vertical="center" wrapText="1"/>
    </xf>
    <xf numFmtId="167" fontId="8" fillId="5" borderId="1" xfId="0" applyNumberFormat="1" applyFont="1" applyFill="1" applyBorder="1" applyAlignment="1">
      <alignment horizontal="center" vertical="center" wrapText="1"/>
    </xf>
    <xf numFmtId="165" fontId="6" fillId="2" borderId="1" xfId="0" applyNumberFormat="1" applyFont="1" applyFill="1" applyBorder="1" applyAlignment="1">
      <alignment horizontal="center" vertical="center" wrapText="1"/>
    </xf>
    <xf numFmtId="165" fontId="12" fillId="4" borderId="1" xfId="0" applyNumberFormat="1" applyFont="1" applyFill="1" applyBorder="1" applyAlignment="1">
      <alignment horizontal="center" vertical="center" wrapText="1"/>
    </xf>
    <xf numFmtId="167" fontId="12" fillId="4" borderId="1" xfId="0" applyNumberFormat="1" applyFont="1" applyFill="1" applyBorder="1" applyAlignment="1">
      <alignment horizontal="center" vertical="center" wrapText="1"/>
    </xf>
    <xf numFmtId="165" fontId="12" fillId="5" borderId="1" xfId="0" applyNumberFormat="1" applyFont="1" applyFill="1" applyBorder="1" applyAlignment="1">
      <alignment horizontal="center" vertical="center" wrapText="1"/>
    </xf>
    <xf numFmtId="167" fontId="12" fillId="5"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20" fillId="0" borderId="0" xfId="0" applyFont="1"/>
    <xf numFmtId="0" fontId="7"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0" fillId="0" borderId="0" xfId="0" applyAlignment="1">
      <alignment horizontal="left"/>
    </xf>
    <xf numFmtId="0" fontId="0" fillId="0" borderId="0" xfId="0" pivotButton="1"/>
    <xf numFmtId="0" fontId="0" fillId="8" borderId="0" xfId="0" applyFill="1" applyAlignment="1">
      <alignment horizontal="left"/>
    </xf>
    <xf numFmtId="0" fontId="0" fillId="8" borderId="0" xfId="0" applyFill="1"/>
    <xf numFmtId="0" fontId="0" fillId="9" borderId="0" xfId="0" applyFill="1" applyAlignment="1">
      <alignment horizontal="left"/>
    </xf>
    <xf numFmtId="0" fontId="0" fillId="9" borderId="0" xfId="0" applyFill="1"/>
    <xf numFmtId="0" fontId="6" fillId="6" borderId="2" xfId="0" applyFont="1" applyFill="1" applyBorder="1" applyAlignment="1">
      <alignment horizontal="center" vertical="center" wrapText="1"/>
    </xf>
    <xf numFmtId="0" fontId="21" fillId="0" borderId="0" xfId="0" applyFont="1" applyAlignment="1">
      <alignment horizontal="center" vertical="center" wrapText="1"/>
    </xf>
    <xf numFmtId="167" fontId="8" fillId="4" borderId="2" xfId="0" applyNumberFormat="1" applyFont="1" applyFill="1" applyBorder="1" applyAlignment="1">
      <alignment horizontal="center" vertical="center" wrapText="1"/>
    </xf>
    <xf numFmtId="167" fontId="8" fillId="5" borderId="2" xfId="0" applyNumberFormat="1" applyFont="1" applyFill="1" applyBorder="1" applyAlignment="1">
      <alignment horizontal="center" vertical="center" wrapText="1"/>
    </xf>
    <xf numFmtId="167" fontId="6" fillId="2" borderId="2" xfId="0" applyNumberFormat="1" applyFont="1" applyFill="1" applyBorder="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indent="1"/>
    </xf>
    <xf numFmtId="0" fontId="0" fillId="10" borderId="0" xfId="0" applyFill="1"/>
    <xf numFmtId="0" fontId="11" fillId="8" borderId="1" xfId="0" applyFont="1" applyFill="1" applyBorder="1" applyAlignment="1">
      <alignment horizontal="center" vertical="center" wrapText="1"/>
    </xf>
    <xf numFmtId="0" fontId="23"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0" fontId="26" fillId="4" borderId="1" xfId="0" applyFont="1" applyFill="1" applyBorder="1" applyAlignment="1">
      <alignment horizontal="center" vertical="top" wrapText="1"/>
    </xf>
    <xf numFmtId="0" fontId="19" fillId="4" borderId="1" xfId="0" applyFont="1" applyFill="1" applyBorder="1" applyAlignment="1">
      <alignment horizontal="left" vertical="top" wrapText="1"/>
    </xf>
    <xf numFmtId="0" fontId="27" fillId="4" borderId="1" xfId="0" applyFont="1" applyFill="1" applyBorder="1" applyAlignment="1">
      <alignment horizontal="left" vertical="top" wrapText="1"/>
    </xf>
    <xf numFmtId="0" fontId="26" fillId="5" borderId="1" xfId="0" applyFont="1" applyFill="1" applyBorder="1" applyAlignment="1">
      <alignment horizontal="center" vertical="top" wrapText="1"/>
    </xf>
    <xf numFmtId="0" fontId="19" fillId="5" borderId="1" xfId="0" applyFont="1" applyFill="1" applyBorder="1" applyAlignment="1">
      <alignment horizontal="left" vertical="top" wrapText="1"/>
    </xf>
    <xf numFmtId="0" fontId="27" fillId="5" borderId="1" xfId="0" applyFont="1" applyFill="1" applyBorder="1" applyAlignment="1">
      <alignment horizontal="left" vertical="top" wrapText="1"/>
    </xf>
    <xf numFmtId="0" fontId="6" fillId="0" borderId="1" xfId="0" applyFont="1" applyBorder="1" applyAlignment="1">
      <alignment horizontal="center" vertical="center" wrapText="1"/>
    </xf>
    <xf numFmtId="0" fontId="8" fillId="0" borderId="1" xfId="0" applyFont="1" applyBorder="1" applyAlignment="1">
      <alignment horizontal="left" vertical="center" wrapText="1"/>
    </xf>
    <xf numFmtId="0" fontId="0" fillId="0" borderId="3" xfId="0" applyBorder="1"/>
    <xf numFmtId="0" fontId="20" fillId="0" borderId="4" xfId="0" applyFont="1" applyBorder="1"/>
    <xf numFmtId="0" fontId="0" fillId="0" borderId="5" xfId="0" applyBorder="1"/>
    <xf numFmtId="0" fontId="0" fillId="0" borderId="6" xfId="0" applyBorder="1"/>
    <xf numFmtId="0" fontId="0" fillId="0" borderId="7" xfId="0" applyBorder="1"/>
    <xf numFmtId="0" fontId="28" fillId="0" borderId="0" xfId="0" applyFont="1"/>
    <xf numFmtId="0" fontId="6" fillId="2" borderId="8"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0" borderId="0" xfId="0"/>
    <xf numFmtId="0" fontId="4"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8" fillId="4"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16" fillId="4" borderId="0" xfId="0" applyFont="1" applyFill="1" applyAlignment="1">
      <alignment horizontal="center" vertical="center" wrapText="1"/>
    </xf>
    <xf numFmtId="0" fontId="15" fillId="5" borderId="0" xfId="0" applyFont="1" applyFill="1" applyAlignment="1">
      <alignment horizontal="center" vertical="center" wrapText="1"/>
    </xf>
    <xf numFmtId="0" fontId="6" fillId="6" borderId="0" xfId="0" applyFont="1" applyFill="1" applyAlignment="1">
      <alignment horizontal="center" vertical="center" wrapText="1"/>
    </xf>
    <xf numFmtId="0" fontId="24" fillId="2" borderId="0" xfId="0" applyFont="1" applyFill="1" applyAlignment="1">
      <alignment horizontal="center" vertical="center" wrapText="1"/>
    </xf>
    <xf numFmtId="0" fontId="25" fillId="4" borderId="1" xfId="0" applyFont="1" applyFill="1" applyBorder="1" applyAlignment="1">
      <alignment horizontal="left" vertical="center" wrapText="1"/>
    </xf>
    <xf numFmtId="0" fontId="0" fillId="0" borderId="0" xfId="0" applyNumberFormat="1"/>
    <xf numFmtId="0" fontId="10" fillId="8"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0" fillId="8" borderId="0" xfId="0" applyNumberFormat="1" applyFill="1"/>
    <xf numFmtId="0" fontId="0" fillId="11" borderId="0" xfId="0" applyFill="1" applyAlignment="1">
      <alignment horizontal="left"/>
    </xf>
    <xf numFmtId="0" fontId="0" fillId="11" borderId="0" xfId="0" applyNumberFormat="1" applyFill="1"/>
  </cellXfs>
  <cellStyles count="1">
    <cellStyle name="Normal" xfId="0" builtinId="0"/>
  </cellStyles>
  <dxfs count="6">
    <dxf>
      <fill>
        <patternFill patternType="solid">
          <bgColor rgb="FFFF0000"/>
        </patternFill>
      </fill>
    </dxf>
    <dxf>
      <fill>
        <patternFill patternType="solid">
          <bgColor rgb="FF92D050"/>
        </patternFill>
      </fill>
    </dxf>
    <dxf>
      <fill>
        <patternFill patternType="solid">
          <bgColor rgb="FFC00000"/>
        </patternFill>
      </fill>
    </dxf>
    <dxf>
      <fill>
        <patternFill patternType="solid">
          <bgColor rgb="FFC00000"/>
        </patternFill>
      </fill>
    </dxf>
    <dxf>
      <fill>
        <patternFill patternType="solid">
          <bgColor rgb="FF92D050"/>
        </patternFill>
      </fill>
    </dxf>
    <dxf>
      <fill>
        <patternFill patternType="solid">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Weighted Pipeline of</a:t>
            </a:r>
            <a:r>
              <a:rPr lang="en-GB" baseline="0"/>
              <a:t> each sales rep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'Rep Performance'!$B$7:$B$14</c:f>
              <c:strCache>
                <c:ptCount val="8"/>
                <c:pt idx="0">
                  <c:v>Amahle Dlamini</c:v>
                </c:pt>
                <c:pt idx="1">
                  <c:v>Priya Naidoo</c:v>
                </c:pt>
                <c:pt idx="2">
                  <c:v>Kagiso Sithole</c:v>
                </c:pt>
                <c:pt idx="3">
                  <c:v>James Meyer</c:v>
                </c:pt>
                <c:pt idx="4">
                  <c:v>Ruan Ferreira</c:v>
                </c:pt>
                <c:pt idx="5">
                  <c:v>Stefan Botha</c:v>
                </c:pt>
                <c:pt idx="6">
                  <c:v>Nomvula Khumalo</c:v>
                </c:pt>
                <c:pt idx="7">
                  <c:v>Lerato Mokoena</c:v>
                </c:pt>
              </c:strCache>
            </c:strRef>
          </c:cat>
          <c:val>
            <c:numRef>
              <c:f>'Rep Performance'!$E$7:$E$14</c:f>
              <c:numCache>
                <c:formatCode>\R#\ ##0</c:formatCode>
                <c:ptCount val="8"/>
                <c:pt idx="0">
                  <c:v>524892000</c:v>
                </c:pt>
                <c:pt idx="1">
                  <c:v>263083000</c:v>
                </c:pt>
                <c:pt idx="2">
                  <c:v>265638000</c:v>
                </c:pt>
                <c:pt idx="3">
                  <c:v>326985000</c:v>
                </c:pt>
                <c:pt idx="4">
                  <c:v>259561000</c:v>
                </c:pt>
                <c:pt idx="5">
                  <c:v>219657000</c:v>
                </c:pt>
                <c:pt idx="6">
                  <c:v>318096000</c:v>
                </c:pt>
                <c:pt idx="7">
                  <c:v>275895000</c:v>
                </c:pt>
              </c:numCache>
            </c:numRef>
          </c:val>
          <c:extLst>
            <c:ext xmlns:c16="http://schemas.microsoft.com/office/drawing/2014/chart" uri="{C3380CC4-5D6E-409C-BE32-E72D297353CC}">
              <c16:uniqueId val="{00000000-7ED8-0043-933A-7F84F62F1D21}"/>
            </c:ext>
          </c:extLst>
        </c:ser>
        <c:dLbls>
          <c:showLegendKey val="0"/>
          <c:showVal val="0"/>
          <c:showCatName val="0"/>
          <c:showSerName val="0"/>
          <c:showPercent val="0"/>
          <c:showBubbleSize val="0"/>
        </c:dLbls>
        <c:gapWidth val="219"/>
        <c:overlap val="-27"/>
        <c:axId val="872901376"/>
        <c:axId val="464183856"/>
      </c:barChart>
      <c:catAx>
        <c:axId val="8729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83856"/>
        <c:crosses val="autoZero"/>
        <c:auto val="1"/>
        <c:lblAlgn val="ctr"/>
        <c:lblOffset val="100"/>
        <c:noMultiLvlLbl val="0"/>
      </c:catAx>
      <c:valAx>
        <c:axId val="464183856"/>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01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4 Revenue Intake Reps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'Rep Performance'!$B$7:$B$10</c:f>
              <c:strCache>
                <c:ptCount val="4"/>
                <c:pt idx="0">
                  <c:v>Amahle Dlamini</c:v>
                </c:pt>
                <c:pt idx="1">
                  <c:v>Priya Naidoo</c:v>
                </c:pt>
                <c:pt idx="2">
                  <c:v>Kagiso Sithole</c:v>
                </c:pt>
                <c:pt idx="3">
                  <c:v>James Meyer</c:v>
                </c:pt>
              </c:strCache>
            </c:strRef>
          </c:cat>
          <c:val>
            <c:numRef>
              <c:f>'Rep Performance'!$D$7:$D$10</c:f>
              <c:numCache>
                <c:formatCode>\R#\ ##0</c:formatCode>
                <c:ptCount val="4"/>
                <c:pt idx="0">
                  <c:v>1073401000</c:v>
                </c:pt>
                <c:pt idx="1">
                  <c:v>574642000</c:v>
                </c:pt>
                <c:pt idx="2">
                  <c:v>791032000</c:v>
                </c:pt>
                <c:pt idx="3">
                  <c:v>968386000</c:v>
                </c:pt>
              </c:numCache>
            </c:numRef>
          </c:val>
          <c:extLst>
            <c:ext xmlns:c16="http://schemas.microsoft.com/office/drawing/2014/chart" uri="{C3380CC4-5D6E-409C-BE32-E72D297353CC}">
              <c16:uniqueId val="{00000000-8E0A-5C40-AFDE-0C91177C2FDD}"/>
            </c:ext>
          </c:extLst>
        </c:ser>
        <c:ser>
          <c:idx val="1"/>
          <c:order val="1"/>
          <c:spPr>
            <a:solidFill>
              <a:schemeClr val="accent2"/>
            </a:solidFill>
            <a:ln>
              <a:noFill/>
            </a:ln>
            <a:effectLst/>
          </c:spPr>
          <c:invertIfNegative val="0"/>
          <c:cat>
            <c:strRef>
              <c:f>'Rep Performance'!$B$7:$B$10</c:f>
              <c:strCache>
                <c:ptCount val="4"/>
                <c:pt idx="0">
                  <c:v>Amahle Dlamini</c:v>
                </c:pt>
                <c:pt idx="1">
                  <c:v>Priya Naidoo</c:v>
                </c:pt>
                <c:pt idx="2">
                  <c:v>Kagiso Sithole</c:v>
                </c:pt>
                <c:pt idx="3">
                  <c:v>James Meyer</c:v>
                </c:pt>
              </c:strCache>
            </c:strRef>
          </c:cat>
          <c:val>
            <c:numRef>
              <c:f>'Rep Performance'!$K$7:$K$10</c:f>
              <c:numCache>
                <c:formatCode>General</c:formatCode>
                <c:ptCount val="4"/>
                <c:pt idx="0">
                  <c:v>1</c:v>
                </c:pt>
                <c:pt idx="1">
                  <c:v>2</c:v>
                </c:pt>
                <c:pt idx="2">
                  <c:v>3</c:v>
                </c:pt>
                <c:pt idx="3">
                  <c:v>4</c:v>
                </c:pt>
              </c:numCache>
            </c:numRef>
          </c:val>
          <c:extLst>
            <c:ext xmlns:c16="http://schemas.microsoft.com/office/drawing/2014/chart" uri="{C3380CC4-5D6E-409C-BE32-E72D297353CC}">
              <c16:uniqueId val="{00000001-8E0A-5C40-AFDE-0C91177C2FDD}"/>
            </c:ext>
          </c:extLst>
        </c:ser>
        <c:dLbls>
          <c:showLegendKey val="0"/>
          <c:showVal val="0"/>
          <c:showCatName val="0"/>
          <c:showSerName val="0"/>
          <c:showPercent val="0"/>
          <c:showBubbleSize val="0"/>
        </c:dLbls>
        <c:gapWidth val="182"/>
        <c:axId val="514836752"/>
        <c:axId val="517432848"/>
      </c:barChart>
      <c:catAx>
        <c:axId val="5148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32848"/>
        <c:crosses val="autoZero"/>
        <c:auto val="1"/>
        <c:lblAlgn val="ctr"/>
        <c:lblOffset val="100"/>
        <c:noMultiLvlLbl val="0"/>
      </c:catAx>
      <c:valAx>
        <c:axId val="517432848"/>
        <c:scaling>
          <c:orientation val="minMax"/>
        </c:scaling>
        <c:delete val="0"/>
        <c:axPos val="b"/>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Bottom</a:t>
            </a:r>
            <a:r>
              <a:rPr lang="en-GB" baseline="0"/>
              <a:t> 4 Revenue Intake Sales Rep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'Rep Performance'!$B$11:$B$14</c:f>
              <c:strCache>
                <c:ptCount val="4"/>
                <c:pt idx="0">
                  <c:v>Ruan Ferreira</c:v>
                </c:pt>
                <c:pt idx="1">
                  <c:v>Stefan Botha</c:v>
                </c:pt>
                <c:pt idx="2">
                  <c:v>Nomvula Khumalo</c:v>
                </c:pt>
                <c:pt idx="3">
                  <c:v>Lerato Mokoena</c:v>
                </c:pt>
              </c:strCache>
            </c:strRef>
          </c:cat>
          <c:val>
            <c:numRef>
              <c:f>'Rep Performance'!$D$11:$D$14</c:f>
              <c:numCache>
                <c:formatCode>\R#\ ##0</c:formatCode>
                <c:ptCount val="4"/>
                <c:pt idx="0">
                  <c:v>641154000</c:v>
                </c:pt>
                <c:pt idx="1">
                  <c:v>648205000</c:v>
                </c:pt>
                <c:pt idx="2">
                  <c:v>1041044000</c:v>
                </c:pt>
                <c:pt idx="3">
                  <c:v>1013654000</c:v>
                </c:pt>
              </c:numCache>
            </c:numRef>
          </c:val>
          <c:extLst>
            <c:ext xmlns:c16="http://schemas.microsoft.com/office/drawing/2014/chart" uri="{C3380CC4-5D6E-409C-BE32-E72D297353CC}">
              <c16:uniqueId val="{00000000-C2F0-784A-A4CB-C3CB07C9FC5A}"/>
            </c:ext>
          </c:extLst>
        </c:ser>
        <c:dLbls>
          <c:showLegendKey val="0"/>
          <c:showVal val="0"/>
          <c:showCatName val="0"/>
          <c:showSerName val="0"/>
          <c:showPercent val="0"/>
          <c:showBubbleSize val="0"/>
        </c:dLbls>
        <c:gapWidth val="182"/>
        <c:axId val="517107296"/>
        <c:axId val="588881264"/>
      </c:barChart>
      <c:catAx>
        <c:axId val="51710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81264"/>
        <c:crosses val="autoZero"/>
        <c:auto val="1"/>
        <c:lblAlgn val="ctr"/>
        <c:lblOffset val="100"/>
        <c:noMultiLvlLbl val="0"/>
      </c:catAx>
      <c:valAx>
        <c:axId val="588881264"/>
        <c:scaling>
          <c:orientation val="minMax"/>
        </c:scaling>
        <c:delete val="0"/>
        <c:axPos val="b"/>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0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Done.xlsx]Rep Performance!PivotTable4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rate per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 Performance'!$G$35</c:f>
              <c:strCache>
                <c:ptCount val="1"/>
                <c:pt idx="0">
                  <c:v>Total</c:v>
                </c:pt>
              </c:strCache>
            </c:strRef>
          </c:tx>
          <c:spPr>
            <a:solidFill>
              <a:schemeClr val="accent1"/>
            </a:solidFill>
            <a:ln>
              <a:noFill/>
            </a:ln>
            <a:effectLst/>
          </c:spPr>
          <c:invertIfNegative val="0"/>
          <c:cat>
            <c:strRef>
              <c:f>'Rep Performance'!$F$36:$F$44</c:f>
              <c:strCache>
                <c:ptCount val="8"/>
                <c:pt idx="0">
                  <c:v>Amahle Dlamini</c:v>
                </c:pt>
                <c:pt idx="1">
                  <c:v>James Meyer</c:v>
                </c:pt>
                <c:pt idx="2">
                  <c:v>Kagiso Sithole</c:v>
                </c:pt>
                <c:pt idx="3">
                  <c:v>Lerato Mokoena</c:v>
                </c:pt>
                <c:pt idx="4">
                  <c:v>Nomvula Khumalo</c:v>
                </c:pt>
                <c:pt idx="5">
                  <c:v>Priya Naidoo</c:v>
                </c:pt>
                <c:pt idx="6">
                  <c:v>Ruan Ferreira</c:v>
                </c:pt>
                <c:pt idx="7">
                  <c:v>Stefan Botha</c:v>
                </c:pt>
              </c:strCache>
            </c:strRef>
          </c:cat>
          <c:val>
            <c:numRef>
              <c:f>'Rep Performance'!$G$36:$G$44</c:f>
              <c:numCache>
                <c:formatCode>General</c:formatCode>
                <c:ptCount val="8"/>
                <c:pt idx="0">
                  <c:v>11233739.130434783</c:v>
                </c:pt>
                <c:pt idx="1">
                  <c:v>3691608.6956521738</c:v>
                </c:pt>
                <c:pt idx="2">
                  <c:v>7691250</c:v>
                </c:pt>
                <c:pt idx="3">
                  <c:v>387318.18181818182</c:v>
                </c:pt>
                <c:pt idx="4">
                  <c:v>0</c:v>
                </c:pt>
                <c:pt idx="5">
                  <c:v>12250714.285714285</c:v>
                </c:pt>
                <c:pt idx="6">
                  <c:v>8098642.8571428573</c:v>
                </c:pt>
                <c:pt idx="7">
                  <c:v>9261600</c:v>
                </c:pt>
              </c:numCache>
            </c:numRef>
          </c:val>
          <c:extLst>
            <c:ext xmlns:c16="http://schemas.microsoft.com/office/drawing/2014/chart" uri="{C3380CC4-5D6E-409C-BE32-E72D297353CC}">
              <c16:uniqueId val="{00000000-E636-6B4C-A296-8DCFB2B821DD}"/>
            </c:ext>
          </c:extLst>
        </c:ser>
        <c:dLbls>
          <c:showLegendKey val="0"/>
          <c:showVal val="0"/>
          <c:showCatName val="0"/>
          <c:showSerName val="0"/>
          <c:showPercent val="0"/>
          <c:showBubbleSize val="0"/>
        </c:dLbls>
        <c:gapWidth val="219"/>
        <c:axId val="277269743"/>
        <c:axId val="1968832496"/>
      </c:barChart>
      <c:catAx>
        <c:axId val="27726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832496"/>
        <c:crosses val="autoZero"/>
        <c:auto val="1"/>
        <c:lblAlgn val="ctr"/>
        <c:lblOffset val="100"/>
        <c:noMultiLvlLbl val="0"/>
      </c:catAx>
      <c:valAx>
        <c:axId val="196883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6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Quarterly Forecast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'Forecast Model'!$B$15:$B$18</c:f>
              <c:strCache>
                <c:ptCount val="4"/>
                <c:pt idx="0">
                  <c:v>Q1 2025</c:v>
                </c:pt>
                <c:pt idx="1">
                  <c:v>Q2 2025</c:v>
                </c:pt>
                <c:pt idx="2">
                  <c:v>Q3 2025</c:v>
                </c:pt>
                <c:pt idx="3">
                  <c:v>Q4 2025</c:v>
                </c:pt>
              </c:strCache>
            </c:strRef>
          </c:cat>
          <c:val>
            <c:numRef>
              <c:f>'Forecast Model'!$H$15:$H$18</c:f>
              <c:numCache>
                <c:formatCode>\R#\ ##0</c:formatCode>
                <c:ptCount val="4"/>
                <c:pt idx="0">
                  <c:v>367427000</c:v>
                </c:pt>
                <c:pt idx="1">
                  <c:v>609653000</c:v>
                </c:pt>
                <c:pt idx="2">
                  <c:v>581947000</c:v>
                </c:pt>
                <c:pt idx="3">
                  <c:v>666126000</c:v>
                </c:pt>
              </c:numCache>
            </c:numRef>
          </c:val>
          <c:smooth val="0"/>
          <c:extLst>
            <c:ext xmlns:c16="http://schemas.microsoft.com/office/drawing/2014/chart" uri="{C3380CC4-5D6E-409C-BE32-E72D297353CC}">
              <c16:uniqueId val="{00000000-921D-0541-8211-822ABC39BD43}"/>
            </c:ext>
          </c:extLst>
        </c:ser>
        <c:ser>
          <c:idx val="1"/>
          <c:order val="1"/>
          <c:spPr>
            <a:ln w="28575" cap="rnd">
              <a:solidFill>
                <a:schemeClr val="accent2"/>
              </a:solidFill>
              <a:round/>
            </a:ln>
            <a:effectLst/>
          </c:spPr>
          <c:marker>
            <c:symbol val="none"/>
          </c:marker>
          <c:cat>
            <c:strRef>
              <c:f>'Forecast Model'!$B$15:$B$18</c:f>
              <c:strCache>
                <c:ptCount val="4"/>
                <c:pt idx="0">
                  <c:v>Q1 2025</c:v>
                </c:pt>
                <c:pt idx="1">
                  <c:v>Q2 2025</c:v>
                </c:pt>
                <c:pt idx="2">
                  <c:v>Q3 2025</c:v>
                </c:pt>
                <c:pt idx="3">
                  <c:v>Q4 2025</c:v>
                </c:pt>
              </c:strCache>
            </c:strRef>
          </c:cat>
          <c:val>
            <c:numRef>
              <c:f>'Forecast Model'!$I$15:$I$18</c:f>
              <c:numCache>
                <c:formatCode>\R#\ ##0</c:formatCode>
                <c:ptCount val="4"/>
                <c:pt idx="0">
                  <c:v>154927000</c:v>
                </c:pt>
                <c:pt idx="1">
                  <c:v>397153000</c:v>
                </c:pt>
                <c:pt idx="2">
                  <c:v>369447000</c:v>
                </c:pt>
                <c:pt idx="3">
                  <c:v>453626000</c:v>
                </c:pt>
              </c:numCache>
            </c:numRef>
          </c:val>
          <c:smooth val="0"/>
          <c:extLst>
            <c:ext xmlns:c16="http://schemas.microsoft.com/office/drawing/2014/chart" uri="{C3380CC4-5D6E-409C-BE32-E72D297353CC}">
              <c16:uniqueId val="{00000001-921D-0541-8211-822ABC39BD43}"/>
            </c:ext>
          </c:extLst>
        </c:ser>
        <c:dLbls>
          <c:showLegendKey val="0"/>
          <c:showVal val="0"/>
          <c:showCatName val="0"/>
          <c:showSerName val="0"/>
          <c:showPercent val="0"/>
          <c:showBubbleSize val="0"/>
        </c:dLbls>
        <c:smooth val="0"/>
        <c:axId val="644069280"/>
        <c:axId val="464274544"/>
      </c:lineChart>
      <c:catAx>
        <c:axId val="6440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74544"/>
        <c:crosses val="autoZero"/>
        <c:auto val="1"/>
        <c:lblAlgn val="ctr"/>
        <c:lblOffset val="100"/>
        <c:noMultiLvlLbl val="0"/>
      </c:catAx>
      <c:valAx>
        <c:axId val="464274544"/>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6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Done.xlsx]Forecast Model!PivotTable1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Stage vs avg deal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'Forecast Model'!$G$37</c:f>
              <c:strCache>
                <c:ptCount val="1"/>
                <c:pt idx="0">
                  <c:v>Total</c:v>
                </c:pt>
              </c:strCache>
            </c:strRef>
          </c:tx>
          <c:spPr>
            <a:solidFill>
              <a:schemeClr val="accent1"/>
            </a:solidFill>
            <a:ln>
              <a:noFill/>
            </a:ln>
            <a:effectLst/>
          </c:spPr>
          <c:invertIfNegative val="0"/>
          <c:cat>
            <c:strRef>
              <c:f>'Forecast Model'!$F$38:$F$45</c:f>
              <c:strCache>
                <c:ptCount val="7"/>
                <c:pt idx="0">
                  <c:v>Closed Lost</c:v>
                </c:pt>
                <c:pt idx="1">
                  <c:v>Closed Won</c:v>
                </c:pt>
                <c:pt idx="2">
                  <c:v>Negotiation</c:v>
                </c:pt>
                <c:pt idx="3">
                  <c:v>On Hold</c:v>
                </c:pt>
                <c:pt idx="4">
                  <c:v>Proposal</c:v>
                </c:pt>
                <c:pt idx="5">
                  <c:v>Prospect</c:v>
                </c:pt>
                <c:pt idx="6">
                  <c:v>Qualified</c:v>
                </c:pt>
              </c:strCache>
            </c:strRef>
          </c:cat>
          <c:val>
            <c:numRef>
              <c:f>'Forecast Model'!$G$38:$G$45</c:f>
              <c:numCache>
                <c:formatCode>General</c:formatCode>
                <c:ptCount val="7"/>
                <c:pt idx="0">
                  <c:v>45071250</c:v>
                </c:pt>
                <c:pt idx="1">
                  <c:v>48918105.263157897</c:v>
                </c:pt>
                <c:pt idx="2">
                  <c:v>50126454.545454547</c:v>
                </c:pt>
                <c:pt idx="3">
                  <c:v>46607875</c:v>
                </c:pt>
                <c:pt idx="4">
                  <c:v>42423878.048780493</c:v>
                </c:pt>
                <c:pt idx="5">
                  <c:v>38879250</c:v>
                </c:pt>
                <c:pt idx="6">
                  <c:v>47212208.333333343</c:v>
                </c:pt>
              </c:numCache>
            </c:numRef>
          </c:val>
          <c:extLst>
            <c:ext xmlns:c16="http://schemas.microsoft.com/office/drawing/2014/chart" uri="{C3380CC4-5D6E-409C-BE32-E72D297353CC}">
              <c16:uniqueId val="{00000000-5F37-6945-9728-1F7422B62630}"/>
            </c:ext>
          </c:extLst>
        </c:ser>
        <c:dLbls>
          <c:showLegendKey val="0"/>
          <c:showVal val="0"/>
          <c:showCatName val="0"/>
          <c:showSerName val="0"/>
          <c:showPercent val="0"/>
          <c:showBubbleSize val="0"/>
        </c:dLbls>
        <c:gapWidth val="219"/>
        <c:overlap val="-27"/>
        <c:axId val="215409775"/>
        <c:axId val="215411487"/>
      </c:barChart>
      <c:catAx>
        <c:axId val="2154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11487"/>
        <c:crosses val="autoZero"/>
        <c:auto val="1"/>
        <c:lblAlgn val="ctr"/>
        <c:lblOffset val="100"/>
        <c:noMultiLvlLbl val="0"/>
      </c:catAx>
      <c:valAx>
        <c:axId val="21541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KPI</a:t>
            </a:r>
            <a:r>
              <a:rPr lang="en-GB" baseline="0"/>
              <a:t> of PIpeline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Dashboard!$D$12</c:f>
              <c:strCache>
                <c:ptCount val="1"/>
                <c:pt idx="0">
                  <c:v>Total Value (R)</c:v>
                </c:pt>
              </c:strCache>
            </c:strRef>
          </c:tx>
          <c:spPr>
            <a:solidFill>
              <a:schemeClr val="accent1"/>
            </a:solidFill>
            <a:ln>
              <a:noFill/>
            </a:ln>
            <a:effectLst/>
          </c:spPr>
          <c:invertIfNegative val="0"/>
          <c:cat>
            <c:strRef>
              <c:f>Dashboard!$B$13:$B$19</c:f>
              <c:strCache>
                <c:ptCount val="7"/>
                <c:pt idx="0">
                  <c:v>Prospect</c:v>
                </c:pt>
                <c:pt idx="1">
                  <c:v>Qualified</c:v>
                </c:pt>
                <c:pt idx="2">
                  <c:v>Proposal</c:v>
                </c:pt>
                <c:pt idx="3">
                  <c:v>Negotiation</c:v>
                </c:pt>
                <c:pt idx="4">
                  <c:v>Closed Won</c:v>
                </c:pt>
                <c:pt idx="5">
                  <c:v>Closed Lost</c:v>
                </c:pt>
                <c:pt idx="6">
                  <c:v>On Hold</c:v>
                </c:pt>
              </c:strCache>
            </c:strRef>
          </c:cat>
          <c:val>
            <c:numRef>
              <c:f>Dashboard!$D$13:$D$19</c:f>
              <c:numCache>
                <c:formatCode>\R#\ ##0</c:formatCode>
                <c:ptCount val="7"/>
                <c:pt idx="0">
                  <c:v>933102000</c:v>
                </c:pt>
                <c:pt idx="1">
                  <c:v>1133093000</c:v>
                </c:pt>
                <c:pt idx="2">
                  <c:v>1739379000</c:v>
                </c:pt>
                <c:pt idx="3">
                  <c:v>1102782000</c:v>
                </c:pt>
                <c:pt idx="4">
                  <c:v>929444000</c:v>
                </c:pt>
                <c:pt idx="5">
                  <c:v>540855000</c:v>
                </c:pt>
                <c:pt idx="6">
                  <c:v>372863000</c:v>
                </c:pt>
              </c:numCache>
            </c:numRef>
          </c:val>
          <c:extLst>
            <c:ext xmlns:c16="http://schemas.microsoft.com/office/drawing/2014/chart" uri="{C3380CC4-5D6E-409C-BE32-E72D297353CC}">
              <c16:uniqueId val="{00000000-3608-D04F-AE0B-D54F05B1DCAE}"/>
            </c:ext>
          </c:extLst>
        </c:ser>
        <c:ser>
          <c:idx val="1"/>
          <c:order val="1"/>
          <c:tx>
            <c:strRef>
              <c:f>Dashboard!$E$12</c:f>
              <c:strCache>
                <c:ptCount val="1"/>
                <c:pt idx="0">
                  <c:v>Weighted (R)</c:v>
                </c:pt>
              </c:strCache>
            </c:strRef>
          </c:tx>
          <c:spPr>
            <a:solidFill>
              <a:schemeClr val="accent2"/>
            </a:solidFill>
            <a:ln>
              <a:noFill/>
            </a:ln>
            <a:effectLst/>
          </c:spPr>
          <c:invertIfNegative val="0"/>
          <c:cat>
            <c:strRef>
              <c:f>Dashboard!$B$13:$B$19</c:f>
              <c:strCache>
                <c:ptCount val="7"/>
                <c:pt idx="0">
                  <c:v>Prospect</c:v>
                </c:pt>
                <c:pt idx="1">
                  <c:v>Qualified</c:v>
                </c:pt>
                <c:pt idx="2">
                  <c:v>Proposal</c:v>
                </c:pt>
                <c:pt idx="3">
                  <c:v>Negotiation</c:v>
                </c:pt>
                <c:pt idx="4">
                  <c:v>Closed Won</c:v>
                </c:pt>
                <c:pt idx="5">
                  <c:v>Closed Lost</c:v>
                </c:pt>
                <c:pt idx="6">
                  <c:v>On Hold</c:v>
                </c:pt>
              </c:strCache>
            </c:strRef>
          </c:cat>
          <c:val>
            <c:numRef>
              <c:f>Dashboard!$E$13:$E$19</c:f>
              <c:numCache>
                <c:formatCode>\R#\ ##0</c:formatCode>
                <c:ptCount val="7"/>
                <c:pt idx="0">
                  <c:v>46656000</c:v>
                </c:pt>
                <c:pt idx="1">
                  <c:v>169967000</c:v>
                </c:pt>
                <c:pt idx="2">
                  <c:v>608785000</c:v>
                </c:pt>
                <c:pt idx="3">
                  <c:v>661669000</c:v>
                </c:pt>
                <c:pt idx="4">
                  <c:v>929444000</c:v>
                </c:pt>
                <c:pt idx="5">
                  <c:v>0</c:v>
                </c:pt>
                <c:pt idx="6">
                  <c:v>37286000</c:v>
                </c:pt>
              </c:numCache>
            </c:numRef>
          </c:val>
          <c:extLst>
            <c:ext xmlns:c16="http://schemas.microsoft.com/office/drawing/2014/chart" uri="{C3380CC4-5D6E-409C-BE32-E72D297353CC}">
              <c16:uniqueId val="{00000001-3608-D04F-AE0B-D54F05B1DCAE}"/>
            </c:ext>
          </c:extLst>
        </c:ser>
        <c:dLbls>
          <c:showLegendKey val="0"/>
          <c:showVal val="0"/>
          <c:showCatName val="0"/>
          <c:showSerName val="0"/>
          <c:showPercent val="0"/>
          <c:showBubbleSize val="0"/>
        </c:dLbls>
        <c:gapWidth val="219"/>
        <c:overlap val="-27"/>
        <c:axId val="832098016"/>
        <c:axId val="832095424"/>
      </c:barChart>
      <c:lineChart>
        <c:grouping val="standard"/>
        <c:varyColors val="0"/>
        <c:ser>
          <c:idx val="2"/>
          <c:order val="2"/>
          <c:tx>
            <c:strRef>
              <c:f>Dashboard!$F$12</c:f>
              <c:strCache>
                <c:ptCount val="1"/>
                <c:pt idx="0">
                  <c:v>% Share</c:v>
                </c:pt>
              </c:strCache>
            </c:strRef>
          </c:tx>
          <c:spPr>
            <a:ln w="28575" cap="rnd">
              <a:solidFill>
                <a:schemeClr val="accent3"/>
              </a:solidFill>
              <a:round/>
            </a:ln>
            <a:effectLst/>
          </c:spPr>
          <c:marker>
            <c:symbol val="none"/>
          </c:marker>
          <c:cat>
            <c:strRef>
              <c:f>Dashboard!$B$13:$B$19</c:f>
              <c:strCache>
                <c:ptCount val="7"/>
                <c:pt idx="0">
                  <c:v>Prospect</c:v>
                </c:pt>
                <c:pt idx="1">
                  <c:v>Qualified</c:v>
                </c:pt>
                <c:pt idx="2">
                  <c:v>Proposal</c:v>
                </c:pt>
                <c:pt idx="3">
                  <c:v>Negotiation</c:v>
                </c:pt>
                <c:pt idx="4">
                  <c:v>Closed Won</c:v>
                </c:pt>
                <c:pt idx="5">
                  <c:v>Closed Lost</c:v>
                </c:pt>
                <c:pt idx="6">
                  <c:v>On Hold</c:v>
                </c:pt>
              </c:strCache>
            </c:strRef>
          </c:cat>
          <c:val>
            <c:numRef>
              <c:f>Dashboard!$F$13:$F$19</c:f>
              <c:numCache>
                <c:formatCode>0.0%</c:formatCode>
                <c:ptCount val="7"/>
                <c:pt idx="0">
                  <c:v>0.13820625228281999</c:v>
                </c:pt>
                <c:pt idx="1">
                  <c:v>0.16782788700259699</c:v>
                </c:pt>
                <c:pt idx="2">
                  <c:v>0.25762784013906198</c:v>
                </c:pt>
                <c:pt idx="3">
                  <c:v>0.1633383781247417</c:v>
                </c:pt>
                <c:pt idx="4">
                  <c:v>0.13766444820261159</c:v>
                </c:pt>
                <c:pt idx="5">
                  <c:v>8.0108651121125654E-2</c:v>
                </c:pt>
                <c:pt idx="6">
                  <c:v>5.5226543127041949E-2</c:v>
                </c:pt>
              </c:numCache>
            </c:numRef>
          </c:val>
          <c:smooth val="0"/>
          <c:extLst>
            <c:ext xmlns:c16="http://schemas.microsoft.com/office/drawing/2014/chart" uri="{C3380CC4-5D6E-409C-BE32-E72D297353CC}">
              <c16:uniqueId val="{00000002-3608-D04F-AE0B-D54F05B1DCAE}"/>
            </c:ext>
          </c:extLst>
        </c:ser>
        <c:dLbls>
          <c:showLegendKey val="0"/>
          <c:showVal val="0"/>
          <c:showCatName val="0"/>
          <c:showSerName val="0"/>
          <c:showPercent val="0"/>
          <c:showBubbleSize val="0"/>
        </c:dLbls>
        <c:marker val="1"/>
        <c:smooth val="0"/>
        <c:axId val="832179072"/>
        <c:axId val="832176960"/>
      </c:lineChart>
      <c:catAx>
        <c:axId val="8320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95424"/>
        <c:crosses val="autoZero"/>
        <c:auto val="1"/>
        <c:lblAlgn val="ctr"/>
        <c:lblOffset val="100"/>
        <c:noMultiLvlLbl val="0"/>
      </c:catAx>
      <c:valAx>
        <c:axId val="832095424"/>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98016"/>
        <c:crosses val="autoZero"/>
        <c:crossBetween val="between"/>
      </c:valAx>
      <c:valAx>
        <c:axId val="83217696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79072"/>
        <c:crosses val="max"/>
        <c:crossBetween val="between"/>
      </c:valAx>
      <c:catAx>
        <c:axId val="832179072"/>
        <c:scaling>
          <c:orientation val="minMax"/>
        </c:scaling>
        <c:delete val="1"/>
        <c:axPos val="b"/>
        <c:numFmt formatCode="General" sourceLinked="1"/>
        <c:majorTickMark val="none"/>
        <c:minorTickMark val="none"/>
        <c:tickLblPos val="nextTo"/>
        <c:crossAx val="83217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Weghted</a:t>
            </a:r>
            <a:r>
              <a:rPr lang="en-GB" baseline="0"/>
              <a:t> (R) of Pipeline by Product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Dashboard!$D$23</c:f>
              <c:strCache>
                <c:ptCount val="1"/>
                <c:pt idx="0">
                  <c:v>Total Value (R)</c:v>
                </c:pt>
              </c:strCache>
            </c:strRef>
          </c:tx>
          <c:spPr>
            <a:solidFill>
              <a:schemeClr val="accent1"/>
            </a:solidFill>
            <a:ln>
              <a:noFill/>
            </a:ln>
            <a:effectLst/>
          </c:spPr>
          <c:invertIfNegative val="0"/>
          <c:cat>
            <c:strRef>
              <c:f>Dashboard!$B$24:$B$31</c:f>
              <c:strCache>
                <c:ptCount val="8"/>
                <c:pt idx="0">
                  <c:v>Structured Lending</c:v>
                </c:pt>
                <c:pt idx="1">
                  <c:v>Wealth Planning</c:v>
                </c:pt>
                <c:pt idx="2">
                  <c:v>Trade Finance</c:v>
                </c:pt>
                <c:pt idx="3">
                  <c:v>Risk Management</c:v>
                </c:pt>
                <c:pt idx="4">
                  <c:v>Equity Advisory</c:v>
                </c:pt>
                <c:pt idx="5">
                  <c:v>Corporate Finance</c:v>
                </c:pt>
                <c:pt idx="6">
                  <c:v>Capital Markets</c:v>
                </c:pt>
                <c:pt idx="7">
                  <c:v>Treasury Solutions</c:v>
                </c:pt>
              </c:strCache>
            </c:strRef>
          </c:cat>
          <c:val>
            <c:numRef>
              <c:f>Dashboard!$D$24:$D$31</c:f>
              <c:numCache>
                <c:formatCode>\R#\ ##0</c:formatCode>
                <c:ptCount val="8"/>
                <c:pt idx="0">
                  <c:v>1177970000</c:v>
                </c:pt>
                <c:pt idx="1">
                  <c:v>1032632000</c:v>
                </c:pt>
                <c:pt idx="2">
                  <c:v>1020831000</c:v>
                </c:pt>
                <c:pt idx="3">
                  <c:v>831244000</c:v>
                </c:pt>
                <c:pt idx="4">
                  <c:v>704022000</c:v>
                </c:pt>
                <c:pt idx="5">
                  <c:v>668258000</c:v>
                </c:pt>
                <c:pt idx="6">
                  <c:v>665265000</c:v>
                </c:pt>
                <c:pt idx="7">
                  <c:v>651296000</c:v>
                </c:pt>
              </c:numCache>
            </c:numRef>
          </c:val>
          <c:extLst>
            <c:ext xmlns:c16="http://schemas.microsoft.com/office/drawing/2014/chart" uri="{C3380CC4-5D6E-409C-BE32-E72D297353CC}">
              <c16:uniqueId val="{00000000-AA43-6B4E-B6DB-0A66896EF426}"/>
            </c:ext>
          </c:extLst>
        </c:ser>
        <c:dLbls>
          <c:showLegendKey val="0"/>
          <c:showVal val="0"/>
          <c:showCatName val="0"/>
          <c:showSerName val="0"/>
          <c:showPercent val="0"/>
          <c:showBubbleSize val="0"/>
        </c:dLbls>
        <c:gapWidth val="150"/>
        <c:axId val="828108064"/>
        <c:axId val="832984448"/>
      </c:barChart>
      <c:lineChart>
        <c:grouping val="standard"/>
        <c:varyColors val="0"/>
        <c:ser>
          <c:idx val="1"/>
          <c:order val="1"/>
          <c:tx>
            <c:strRef>
              <c:f>Dashboard!$E$23</c:f>
              <c:strCache>
                <c:ptCount val="1"/>
                <c:pt idx="0">
                  <c:v>Weighted (R)</c:v>
                </c:pt>
              </c:strCache>
            </c:strRef>
          </c:tx>
          <c:spPr>
            <a:ln w="28575" cap="rnd">
              <a:solidFill>
                <a:schemeClr val="accent2"/>
              </a:solidFill>
              <a:round/>
            </a:ln>
            <a:effectLst/>
          </c:spPr>
          <c:marker>
            <c:symbol val="none"/>
          </c:marker>
          <c:cat>
            <c:strRef>
              <c:f>Dashboard!$B$24:$B$31</c:f>
              <c:strCache>
                <c:ptCount val="8"/>
                <c:pt idx="0">
                  <c:v>Structured Lending</c:v>
                </c:pt>
                <c:pt idx="1">
                  <c:v>Wealth Planning</c:v>
                </c:pt>
                <c:pt idx="2">
                  <c:v>Trade Finance</c:v>
                </c:pt>
                <c:pt idx="3">
                  <c:v>Risk Management</c:v>
                </c:pt>
                <c:pt idx="4">
                  <c:v>Equity Advisory</c:v>
                </c:pt>
                <c:pt idx="5">
                  <c:v>Corporate Finance</c:v>
                </c:pt>
                <c:pt idx="6">
                  <c:v>Capital Markets</c:v>
                </c:pt>
                <c:pt idx="7">
                  <c:v>Treasury Solutions</c:v>
                </c:pt>
              </c:strCache>
            </c:strRef>
          </c:cat>
          <c:val>
            <c:numRef>
              <c:f>Dashboard!$E$24:$E$31</c:f>
              <c:numCache>
                <c:formatCode>\R#\ ##0</c:formatCode>
                <c:ptCount val="8"/>
                <c:pt idx="0">
                  <c:v>532389000</c:v>
                </c:pt>
                <c:pt idx="1">
                  <c:v>376358000</c:v>
                </c:pt>
                <c:pt idx="2">
                  <c:v>268847000</c:v>
                </c:pt>
                <c:pt idx="3">
                  <c:v>495796000</c:v>
                </c:pt>
                <c:pt idx="4">
                  <c:v>213288000</c:v>
                </c:pt>
                <c:pt idx="5">
                  <c:v>210443000</c:v>
                </c:pt>
                <c:pt idx="6">
                  <c:v>172642000</c:v>
                </c:pt>
                <c:pt idx="7">
                  <c:v>184044000</c:v>
                </c:pt>
              </c:numCache>
            </c:numRef>
          </c:val>
          <c:smooth val="0"/>
          <c:extLst>
            <c:ext xmlns:c16="http://schemas.microsoft.com/office/drawing/2014/chart" uri="{C3380CC4-5D6E-409C-BE32-E72D297353CC}">
              <c16:uniqueId val="{00000001-AA43-6B4E-B6DB-0A66896EF426}"/>
            </c:ext>
          </c:extLst>
        </c:ser>
        <c:dLbls>
          <c:showLegendKey val="0"/>
          <c:showVal val="0"/>
          <c:showCatName val="0"/>
          <c:showSerName val="0"/>
          <c:showPercent val="0"/>
          <c:showBubbleSize val="0"/>
        </c:dLbls>
        <c:marker val="1"/>
        <c:smooth val="0"/>
        <c:axId val="828108064"/>
        <c:axId val="832984448"/>
      </c:lineChart>
      <c:catAx>
        <c:axId val="8281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84448"/>
        <c:crosses val="autoZero"/>
        <c:auto val="1"/>
        <c:lblAlgn val="ctr"/>
        <c:lblOffset val="100"/>
        <c:noMultiLvlLbl val="0"/>
      </c:catAx>
      <c:valAx>
        <c:axId val="832984448"/>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0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KPI</a:t>
            </a:r>
            <a:r>
              <a:rPr lang="en-GB" baseline="0"/>
              <a:t> of Pipeline by Channel</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Dashboard!$L$23</c:f>
              <c:strCache>
                <c:ptCount val="1"/>
                <c:pt idx="0">
                  <c:v>Total Value (R)</c:v>
                </c:pt>
              </c:strCache>
            </c:strRef>
          </c:tx>
          <c:spPr>
            <a:solidFill>
              <a:schemeClr val="accent1"/>
            </a:solidFill>
            <a:ln>
              <a:noFill/>
            </a:ln>
            <a:effectLst/>
          </c:spPr>
          <c:invertIfNegative val="0"/>
          <c:cat>
            <c:strRef>
              <c:f>Dashboard!$J$24:$J$29</c:f>
              <c:strCache>
                <c:ptCount val="6"/>
                <c:pt idx="0">
                  <c:v>Direct BD</c:v>
                </c:pt>
                <c:pt idx="1">
                  <c:v>Referral – Client</c:v>
                </c:pt>
                <c:pt idx="2">
                  <c:v>Referral – Broker</c:v>
                </c:pt>
                <c:pt idx="3">
                  <c:v>Digital Inbound</c:v>
                </c:pt>
                <c:pt idx="4">
                  <c:v>Events</c:v>
                </c:pt>
                <c:pt idx="5">
                  <c:v>Partner Network</c:v>
                </c:pt>
              </c:strCache>
            </c:strRef>
          </c:cat>
          <c:val>
            <c:numRef>
              <c:f>Dashboard!$L$24:$L$29</c:f>
              <c:numCache>
                <c:formatCode>\R#\ ##0</c:formatCode>
                <c:ptCount val="6"/>
                <c:pt idx="0">
                  <c:v>1979526000</c:v>
                </c:pt>
                <c:pt idx="1">
                  <c:v>1666513000</c:v>
                </c:pt>
                <c:pt idx="2">
                  <c:v>1220856000</c:v>
                </c:pt>
                <c:pt idx="3">
                  <c:v>783739000</c:v>
                </c:pt>
                <c:pt idx="4">
                  <c:v>679037000</c:v>
                </c:pt>
                <c:pt idx="5">
                  <c:v>421847000</c:v>
                </c:pt>
              </c:numCache>
            </c:numRef>
          </c:val>
          <c:extLst>
            <c:ext xmlns:c16="http://schemas.microsoft.com/office/drawing/2014/chart" uri="{C3380CC4-5D6E-409C-BE32-E72D297353CC}">
              <c16:uniqueId val="{00000000-8E93-DB48-A038-02E116D1517E}"/>
            </c:ext>
          </c:extLst>
        </c:ser>
        <c:dLbls>
          <c:showLegendKey val="0"/>
          <c:showVal val="0"/>
          <c:showCatName val="0"/>
          <c:showSerName val="0"/>
          <c:showPercent val="0"/>
          <c:showBubbleSize val="0"/>
        </c:dLbls>
        <c:gapWidth val="219"/>
        <c:overlap val="-27"/>
        <c:axId val="832863680"/>
        <c:axId val="833025904"/>
      </c:barChart>
      <c:lineChart>
        <c:grouping val="standard"/>
        <c:varyColors val="0"/>
        <c:ser>
          <c:idx val="1"/>
          <c:order val="1"/>
          <c:tx>
            <c:strRef>
              <c:f>Dashboard!$N$23</c:f>
              <c:strCache>
                <c:ptCount val="1"/>
                <c:pt idx="0">
                  <c:v>% of Pipeline</c:v>
                </c:pt>
              </c:strCache>
            </c:strRef>
          </c:tx>
          <c:spPr>
            <a:ln w="28575" cap="rnd">
              <a:solidFill>
                <a:schemeClr val="accent2"/>
              </a:solidFill>
              <a:round/>
            </a:ln>
            <a:effectLst/>
          </c:spPr>
          <c:marker>
            <c:symbol val="none"/>
          </c:marker>
          <c:cat>
            <c:strRef>
              <c:f>Dashboard!$J$24:$J$29</c:f>
              <c:strCache>
                <c:ptCount val="6"/>
                <c:pt idx="0">
                  <c:v>Direct BD</c:v>
                </c:pt>
                <c:pt idx="1">
                  <c:v>Referral – Client</c:v>
                </c:pt>
                <c:pt idx="2">
                  <c:v>Referral – Broker</c:v>
                </c:pt>
                <c:pt idx="3">
                  <c:v>Digital Inbound</c:v>
                </c:pt>
                <c:pt idx="4">
                  <c:v>Events</c:v>
                </c:pt>
                <c:pt idx="5">
                  <c:v>Partner Network</c:v>
                </c:pt>
              </c:strCache>
            </c:strRef>
          </c:cat>
          <c:val>
            <c:numRef>
              <c:f>Dashboard!$N$24:$N$29</c:f>
              <c:numCache>
                <c:formatCode>0.0%</c:formatCode>
                <c:ptCount val="6"/>
                <c:pt idx="0">
                  <c:v>0.29319717432435188</c:v>
                </c:pt>
                <c:pt idx="1">
                  <c:v>0.24683530429749281</c:v>
                </c:pt>
                <c:pt idx="2">
                  <c:v>0.18082688959727281</c:v>
                </c:pt>
                <c:pt idx="3">
                  <c:v>0.11608337562011981</c:v>
                </c:pt>
                <c:pt idx="4">
                  <c:v>0.1005754557715761</c:v>
                </c:pt>
                <c:pt idx="5">
                  <c:v>6.2481800389186548E-2</c:v>
                </c:pt>
              </c:numCache>
            </c:numRef>
          </c:val>
          <c:smooth val="0"/>
          <c:extLst>
            <c:ext xmlns:c16="http://schemas.microsoft.com/office/drawing/2014/chart" uri="{C3380CC4-5D6E-409C-BE32-E72D297353CC}">
              <c16:uniqueId val="{00000001-8E93-DB48-A038-02E116D1517E}"/>
            </c:ext>
          </c:extLst>
        </c:ser>
        <c:dLbls>
          <c:showLegendKey val="0"/>
          <c:showVal val="0"/>
          <c:showCatName val="0"/>
          <c:showSerName val="0"/>
          <c:showPercent val="0"/>
          <c:showBubbleSize val="0"/>
        </c:dLbls>
        <c:marker val="1"/>
        <c:smooth val="0"/>
        <c:axId val="868415600"/>
        <c:axId val="868413872"/>
      </c:lineChart>
      <c:catAx>
        <c:axId val="8328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025904"/>
        <c:crosses val="autoZero"/>
        <c:auto val="1"/>
        <c:lblAlgn val="ctr"/>
        <c:lblOffset val="100"/>
        <c:noMultiLvlLbl val="0"/>
      </c:catAx>
      <c:valAx>
        <c:axId val="833025904"/>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63680"/>
        <c:crosses val="autoZero"/>
        <c:crossBetween val="between"/>
      </c:valAx>
      <c:valAx>
        <c:axId val="868413872"/>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15600"/>
        <c:crosses val="max"/>
        <c:crossBetween val="between"/>
      </c:valAx>
      <c:catAx>
        <c:axId val="868415600"/>
        <c:scaling>
          <c:orientation val="minMax"/>
        </c:scaling>
        <c:delete val="1"/>
        <c:axPos val="b"/>
        <c:numFmt formatCode="General" sourceLinked="1"/>
        <c:majorTickMark val="none"/>
        <c:minorTickMark val="none"/>
        <c:tickLblPos val="nextTo"/>
        <c:crossAx val="8684138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Value (R)', 'Avg Deal (R)'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Dashboard!$L$12</c:f>
              <c:strCache>
                <c:ptCount val="1"/>
                <c:pt idx="0">
                  <c:v>Total Value (R)</c:v>
                </c:pt>
              </c:strCache>
            </c:strRef>
          </c:tx>
          <c:spPr>
            <a:solidFill>
              <a:schemeClr val="accent1"/>
            </a:solidFill>
            <a:ln>
              <a:noFill/>
            </a:ln>
            <a:effectLst/>
          </c:spPr>
          <c:invertIfNegative val="0"/>
          <c:cat>
            <c:strRef>
              <c:f>Dashboard!$J$13:$J$17</c:f>
              <c:strCache>
                <c:ptCount val="5"/>
                <c:pt idx="0">
                  <c:v>Gauteng</c:v>
                </c:pt>
                <c:pt idx="1">
                  <c:v>Western Cape</c:v>
                </c:pt>
                <c:pt idx="2">
                  <c:v>KwaZulu-Natal</c:v>
                </c:pt>
                <c:pt idx="3">
                  <c:v>Eastern Cape</c:v>
                </c:pt>
                <c:pt idx="4">
                  <c:v>Free State</c:v>
                </c:pt>
              </c:strCache>
            </c:strRef>
          </c:cat>
          <c:val>
            <c:numRef>
              <c:f>Dashboard!$L$13:$L$17</c:f>
              <c:numCache>
                <c:formatCode>\R#\ ##0</c:formatCode>
                <c:ptCount val="5"/>
                <c:pt idx="0">
                  <c:v>2784899000</c:v>
                </c:pt>
                <c:pt idx="1">
                  <c:v>1576608000</c:v>
                </c:pt>
                <c:pt idx="2">
                  <c:v>1216749000</c:v>
                </c:pt>
                <c:pt idx="3">
                  <c:v>935341000</c:v>
                </c:pt>
                <c:pt idx="4">
                  <c:v>237921000</c:v>
                </c:pt>
              </c:numCache>
            </c:numRef>
          </c:val>
          <c:extLst>
            <c:ext xmlns:c16="http://schemas.microsoft.com/office/drawing/2014/chart" uri="{C3380CC4-5D6E-409C-BE32-E72D297353CC}">
              <c16:uniqueId val="{00000000-2422-124E-9DBE-1D2CAFD08840}"/>
            </c:ext>
          </c:extLst>
        </c:ser>
        <c:dLbls>
          <c:showLegendKey val="0"/>
          <c:showVal val="0"/>
          <c:showCatName val="0"/>
          <c:showSerName val="0"/>
          <c:showPercent val="0"/>
          <c:showBubbleSize val="0"/>
        </c:dLbls>
        <c:gapWidth val="140"/>
        <c:overlap val="-27"/>
        <c:axId val="869118256"/>
        <c:axId val="869012608"/>
      </c:barChart>
      <c:lineChart>
        <c:grouping val="standard"/>
        <c:varyColors val="0"/>
        <c:ser>
          <c:idx val="1"/>
          <c:order val="1"/>
          <c:tx>
            <c:strRef>
              <c:f>Dashboard!$M$12</c:f>
              <c:strCache>
                <c:ptCount val="1"/>
                <c:pt idx="0">
                  <c:v>Avg Deal (R)</c:v>
                </c:pt>
              </c:strCache>
            </c:strRef>
          </c:tx>
          <c:spPr>
            <a:ln w="28575" cap="rnd">
              <a:solidFill>
                <a:schemeClr val="accent2"/>
              </a:solidFill>
              <a:round/>
            </a:ln>
            <a:effectLst/>
          </c:spPr>
          <c:marker>
            <c:symbol val="none"/>
          </c:marker>
          <c:cat>
            <c:strRef>
              <c:f>Dashboard!$J$13:$J$17</c:f>
              <c:strCache>
                <c:ptCount val="5"/>
                <c:pt idx="0">
                  <c:v>Gauteng</c:v>
                </c:pt>
                <c:pt idx="1">
                  <c:v>Western Cape</c:v>
                </c:pt>
                <c:pt idx="2">
                  <c:v>KwaZulu-Natal</c:v>
                </c:pt>
                <c:pt idx="3">
                  <c:v>Eastern Cape</c:v>
                </c:pt>
                <c:pt idx="4">
                  <c:v>Free State</c:v>
                </c:pt>
              </c:strCache>
            </c:strRef>
          </c:cat>
          <c:val>
            <c:numRef>
              <c:f>Dashboard!$M$13:$M$17</c:f>
              <c:numCache>
                <c:formatCode>\R#\ ##0</c:formatCode>
                <c:ptCount val="5"/>
                <c:pt idx="0">
                  <c:v>47201677.966101699</c:v>
                </c:pt>
                <c:pt idx="1">
                  <c:v>40425846.153846152</c:v>
                </c:pt>
                <c:pt idx="2">
                  <c:v>50697875</c:v>
                </c:pt>
                <c:pt idx="3">
                  <c:v>44540047.619047619</c:v>
                </c:pt>
                <c:pt idx="4">
                  <c:v>33988714.285714284</c:v>
                </c:pt>
              </c:numCache>
            </c:numRef>
          </c:val>
          <c:smooth val="0"/>
          <c:extLst>
            <c:ext xmlns:c16="http://schemas.microsoft.com/office/drawing/2014/chart" uri="{C3380CC4-5D6E-409C-BE32-E72D297353CC}">
              <c16:uniqueId val="{00000001-2422-124E-9DBE-1D2CAFD08840}"/>
            </c:ext>
          </c:extLst>
        </c:ser>
        <c:dLbls>
          <c:showLegendKey val="0"/>
          <c:showVal val="0"/>
          <c:showCatName val="0"/>
          <c:showSerName val="0"/>
          <c:showPercent val="0"/>
          <c:showBubbleSize val="0"/>
        </c:dLbls>
        <c:marker val="1"/>
        <c:smooth val="0"/>
        <c:axId val="812564448"/>
        <c:axId val="809499024"/>
      </c:lineChart>
      <c:catAx>
        <c:axId val="86911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12608"/>
        <c:crosses val="autoZero"/>
        <c:auto val="1"/>
        <c:lblAlgn val="ctr"/>
        <c:lblOffset val="100"/>
        <c:noMultiLvlLbl val="0"/>
      </c:catAx>
      <c:valAx>
        <c:axId val="86901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Value (R)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182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80949902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Deal (R)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R#\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64448"/>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812564448"/>
        <c:scaling>
          <c:orientation val="minMax"/>
        </c:scaling>
        <c:delete val="1"/>
        <c:axPos val="b"/>
        <c:numFmt formatCode="General" sourceLinked="1"/>
        <c:majorTickMark val="out"/>
        <c:minorTickMark val="none"/>
        <c:tickLblPos val="nextTo"/>
        <c:crossAx val="809499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Pipeline Value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Dashboard!$AL$1</c:f>
              <c:strCache>
                <c:ptCount val="1"/>
                <c:pt idx="0">
                  <c:v>Total</c:v>
                </c:pt>
              </c:strCache>
            </c:strRef>
          </c:tx>
          <c:spPr>
            <a:solidFill>
              <a:schemeClr val="accent1"/>
            </a:solidFill>
            <a:ln>
              <a:noFill/>
            </a:ln>
            <a:effectLst/>
          </c:spPr>
          <c:invertIfNegative val="0"/>
          <c:cat>
            <c:strRef>
              <c:f>Dashboard!$AK$2:$AK$11</c:f>
              <c:strCache>
                <c:ptCount val="9"/>
                <c:pt idx="0">
                  <c:v>(blank)</c:v>
                </c:pt>
                <c:pt idx="1">
                  <c:v>Capital Markets</c:v>
                </c:pt>
                <c:pt idx="2">
                  <c:v>Treasury Solutions</c:v>
                </c:pt>
                <c:pt idx="3">
                  <c:v>Equity Advisory</c:v>
                </c:pt>
                <c:pt idx="4">
                  <c:v>Trade Finance</c:v>
                </c:pt>
                <c:pt idx="5">
                  <c:v>Wealth Planning</c:v>
                </c:pt>
                <c:pt idx="6">
                  <c:v>Corporate Finance</c:v>
                </c:pt>
                <c:pt idx="7">
                  <c:v>Risk Management</c:v>
                </c:pt>
                <c:pt idx="8">
                  <c:v>Structured Lending</c:v>
                </c:pt>
              </c:strCache>
            </c:strRef>
          </c:cat>
          <c:val>
            <c:numRef>
              <c:f>Dashboard!$AL$2:$AL$11</c:f>
              <c:numCache>
                <c:formatCode>General</c:formatCode>
                <c:ptCount val="9"/>
                <c:pt idx="1">
                  <c:v>35013947.368421055</c:v>
                </c:pt>
                <c:pt idx="2">
                  <c:v>36183111.111111112</c:v>
                </c:pt>
                <c:pt idx="3">
                  <c:v>41413058.823529415</c:v>
                </c:pt>
                <c:pt idx="4">
                  <c:v>46401409.090909094</c:v>
                </c:pt>
                <c:pt idx="5">
                  <c:v>46937818.18181818</c:v>
                </c:pt>
                <c:pt idx="6">
                  <c:v>47732714.285714284</c:v>
                </c:pt>
                <c:pt idx="7">
                  <c:v>51952750</c:v>
                </c:pt>
                <c:pt idx="8">
                  <c:v>53544090.909090906</c:v>
                </c:pt>
              </c:numCache>
            </c:numRef>
          </c:val>
          <c:extLst>
            <c:ext xmlns:c16="http://schemas.microsoft.com/office/drawing/2014/chart" uri="{C3380CC4-5D6E-409C-BE32-E72D297353CC}">
              <c16:uniqueId val="{00000000-6E28-6745-8515-71200E3AA4FB}"/>
            </c:ext>
          </c:extLst>
        </c:ser>
        <c:dLbls>
          <c:showLegendKey val="0"/>
          <c:showVal val="0"/>
          <c:showCatName val="0"/>
          <c:showSerName val="0"/>
          <c:showPercent val="0"/>
          <c:showBubbleSize val="0"/>
        </c:dLbls>
        <c:gapWidth val="219"/>
        <c:axId val="461391520"/>
        <c:axId val="461393232"/>
      </c:barChart>
      <c:catAx>
        <c:axId val="46139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93232"/>
        <c:crosses val="autoZero"/>
        <c:auto val="1"/>
        <c:lblAlgn val="ctr"/>
        <c:lblOffset val="100"/>
        <c:noMultiLvlLbl val="0"/>
      </c:catAx>
      <c:valAx>
        <c:axId val="46139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39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 Value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Dashboard!$AR$2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F8-6B47-AC36-F69F8473B9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F8-6B47-AC36-F69F8473B9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F8-6B47-AC36-F69F8473B9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F8-6B47-AC36-F69F8473B9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F8-6B47-AC36-F69F8473B9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7F8-6B47-AC36-F69F8473B936}"/>
              </c:ext>
            </c:extLst>
          </c:dPt>
          <c:cat>
            <c:strRef>
              <c:f>Dashboard!$AQ$3:$AQ$9</c:f>
              <c:strCache>
                <c:ptCount val="6"/>
                <c:pt idx="0">
                  <c:v>Eastern Cape</c:v>
                </c:pt>
                <c:pt idx="1">
                  <c:v>Free State</c:v>
                </c:pt>
                <c:pt idx="2">
                  <c:v>Gauteng</c:v>
                </c:pt>
                <c:pt idx="3">
                  <c:v>KwaZulu-Natal</c:v>
                </c:pt>
                <c:pt idx="4">
                  <c:v>Western Cape</c:v>
                </c:pt>
                <c:pt idx="5">
                  <c:v>(blank)</c:v>
                </c:pt>
              </c:strCache>
            </c:strRef>
          </c:cat>
          <c:val>
            <c:numRef>
              <c:f>Dashboard!$AR$3:$AR$9</c:f>
              <c:numCache>
                <c:formatCode>General</c:formatCode>
                <c:ptCount val="6"/>
                <c:pt idx="0">
                  <c:v>935341000</c:v>
                </c:pt>
                <c:pt idx="1">
                  <c:v>237921000</c:v>
                </c:pt>
                <c:pt idx="2">
                  <c:v>2784899000</c:v>
                </c:pt>
                <c:pt idx="3">
                  <c:v>1216749000</c:v>
                </c:pt>
                <c:pt idx="4">
                  <c:v>1576608000</c:v>
                </c:pt>
              </c:numCache>
            </c:numRef>
          </c:val>
          <c:extLst>
            <c:ext xmlns:c16="http://schemas.microsoft.com/office/drawing/2014/chart" uri="{C3380CC4-5D6E-409C-BE32-E72D297353CC}">
              <c16:uniqueId val="{00000000-CA27-5049-8A67-96BAC9AC77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vs Avg Deal Value</a:t>
            </a:r>
          </a:p>
        </c:rich>
      </c:tx>
      <c:layout>
        <c:manualLayout>
          <c:xMode val="edge"/>
          <c:yMode val="edge"/>
          <c:x val="0.2980555555555556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Dashboard!$AW$2</c:f>
              <c:strCache>
                <c:ptCount val="1"/>
                <c:pt idx="0">
                  <c:v>Total</c:v>
                </c:pt>
              </c:strCache>
            </c:strRef>
          </c:tx>
          <c:spPr>
            <a:solidFill>
              <a:schemeClr val="accent1"/>
            </a:solidFill>
            <a:ln>
              <a:noFill/>
            </a:ln>
            <a:effectLst/>
          </c:spPr>
          <c:invertIfNegative val="0"/>
          <c:cat>
            <c:strRef>
              <c:f>Dashboard!$AV$3:$AV$10</c:f>
              <c:strCache>
                <c:ptCount val="7"/>
                <c:pt idx="0">
                  <c:v>Digital Inbound</c:v>
                </c:pt>
                <c:pt idx="1">
                  <c:v>Direct BD</c:v>
                </c:pt>
                <c:pt idx="2">
                  <c:v>Events</c:v>
                </c:pt>
                <c:pt idx="3">
                  <c:v>Partner Network</c:v>
                </c:pt>
                <c:pt idx="4">
                  <c:v>Referral – Broker</c:v>
                </c:pt>
                <c:pt idx="5">
                  <c:v>Referral – Client</c:v>
                </c:pt>
                <c:pt idx="6">
                  <c:v>(blank)</c:v>
                </c:pt>
              </c:strCache>
            </c:strRef>
          </c:cat>
          <c:val>
            <c:numRef>
              <c:f>Dashboard!$AW$3:$AW$10</c:f>
              <c:numCache>
                <c:formatCode>General</c:formatCode>
                <c:ptCount val="7"/>
                <c:pt idx="0">
                  <c:v>48983687.5</c:v>
                </c:pt>
                <c:pt idx="1">
                  <c:v>42117574.468085103</c:v>
                </c:pt>
                <c:pt idx="2">
                  <c:v>48502642.857142858</c:v>
                </c:pt>
                <c:pt idx="3">
                  <c:v>52730875</c:v>
                </c:pt>
                <c:pt idx="4">
                  <c:v>45216888.888888888</c:v>
                </c:pt>
                <c:pt idx="5">
                  <c:v>43855605.263157897</c:v>
                </c:pt>
              </c:numCache>
            </c:numRef>
          </c:val>
          <c:extLst>
            <c:ext xmlns:c16="http://schemas.microsoft.com/office/drawing/2014/chart" uri="{C3380CC4-5D6E-409C-BE32-E72D297353CC}">
              <c16:uniqueId val="{00000000-6D4F-D34E-BF6D-48A8B07D7EFA}"/>
            </c:ext>
          </c:extLst>
        </c:ser>
        <c:dLbls>
          <c:showLegendKey val="0"/>
          <c:showVal val="0"/>
          <c:showCatName val="0"/>
          <c:showSerName val="0"/>
          <c:showPercent val="0"/>
          <c:showBubbleSize val="0"/>
        </c:dLbls>
        <c:gapWidth val="182"/>
        <c:axId val="520761072"/>
        <c:axId val="524137120"/>
      </c:barChart>
      <c:catAx>
        <c:axId val="52076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37120"/>
        <c:crosses val="autoZero"/>
        <c:auto val="1"/>
        <c:lblAlgn val="ctr"/>
        <c:lblOffset val="100"/>
        <c:noMultiLvlLbl val="0"/>
      </c:catAx>
      <c:valAx>
        <c:axId val="52413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76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Acquisition Channel: Avg</a:t>
            </a:r>
            <a:r>
              <a:rPr lang="en-US" baseline="0"/>
              <a:t> of Deal Value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Dashboard!$BB$3</c:f>
              <c:strCache>
                <c:ptCount val="1"/>
                <c:pt idx="0">
                  <c:v>Total</c:v>
                </c:pt>
              </c:strCache>
            </c:strRef>
          </c:tx>
          <c:spPr>
            <a:solidFill>
              <a:schemeClr val="accent1"/>
            </a:solidFill>
            <a:ln>
              <a:noFill/>
            </a:ln>
            <a:effectLst/>
          </c:spPr>
          <c:invertIfNegative val="0"/>
          <c:cat>
            <c:strRef>
              <c:f>Dashboard!$BA$4:$BA$10</c:f>
              <c:strCache>
                <c:ptCount val="6"/>
                <c:pt idx="0">
                  <c:v>Eastern Cape</c:v>
                </c:pt>
                <c:pt idx="1">
                  <c:v>Free State</c:v>
                </c:pt>
                <c:pt idx="2">
                  <c:v>Gauteng</c:v>
                </c:pt>
                <c:pt idx="3">
                  <c:v>KwaZulu-Natal</c:v>
                </c:pt>
                <c:pt idx="4">
                  <c:v>Western Cape</c:v>
                </c:pt>
                <c:pt idx="5">
                  <c:v>(blank)</c:v>
                </c:pt>
              </c:strCache>
            </c:strRef>
          </c:cat>
          <c:val>
            <c:numRef>
              <c:f>Dashboard!$BB$4:$BB$10</c:f>
              <c:numCache>
                <c:formatCode>General</c:formatCode>
                <c:ptCount val="6"/>
                <c:pt idx="0">
                  <c:v>44540047.619047619</c:v>
                </c:pt>
                <c:pt idx="1">
                  <c:v>33988714.285714284</c:v>
                </c:pt>
                <c:pt idx="2">
                  <c:v>47201677.966101699</c:v>
                </c:pt>
                <c:pt idx="3">
                  <c:v>50697875</c:v>
                </c:pt>
                <c:pt idx="4">
                  <c:v>40425846.153846152</c:v>
                </c:pt>
              </c:numCache>
            </c:numRef>
          </c:val>
          <c:extLst>
            <c:ext xmlns:c16="http://schemas.microsoft.com/office/drawing/2014/chart" uri="{C3380CC4-5D6E-409C-BE32-E72D297353CC}">
              <c16:uniqueId val="{00000000-31A7-B946-BA4D-83B3F1926AD0}"/>
            </c:ext>
          </c:extLst>
        </c:ser>
        <c:dLbls>
          <c:showLegendKey val="0"/>
          <c:showVal val="0"/>
          <c:showCatName val="0"/>
          <c:showSerName val="0"/>
          <c:showPercent val="0"/>
          <c:showBubbleSize val="0"/>
        </c:dLbls>
        <c:gapWidth val="219"/>
        <c:overlap val="-27"/>
        <c:axId val="2010088736"/>
        <c:axId val="2010090448"/>
      </c:barChart>
      <c:catAx>
        <c:axId val="20100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90448"/>
        <c:crosses val="autoZero"/>
        <c:auto val="1"/>
        <c:lblAlgn val="ctr"/>
        <c:lblOffset val="100"/>
        <c:noMultiLvlLbl val="0"/>
      </c:catAx>
      <c:valAx>
        <c:axId val="201009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8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[VertexCapital_SalesPipeline_Portfolio Done.xlsx]VISUALISATION TASKS!PivotTable4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a:t>
            </a:r>
            <a:r>
              <a:rPr lang="en-US" baseline="0"/>
              <a:t> Count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'VISUALISATION TASKS'!$E$1</c:f>
              <c:strCache>
                <c:ptCount val="1"/>
                <c:pt idx="0">
                  <c:v>Total</c:v>
                </c:pt>
              </c:strCache>
            </c:strRef>
          </c:tx>
          <c:spPr>
            <a:solidFill>
              <a:schemeClr val="accent1"/>
            </a:solidFill>
            <a:ln>
              <a:noFill/>
            </a:ln>
            <a:effectLst/>
          </c:spPr>
          <c:invertIfNegative val="0"/>
          <c:cat>
            <c:multiLvlStrRef>
              <c:f>'VISUALISATION TASKS'!$D$2:$D$44</c:f>
              <c:multiLvlStrCache>
                <c:ptCount val="35"/>
                <c:lvl>
                  <c:pt idx="0">
                    <c:v>Closed Won</c:v>
                  </c:pt>
                  <c:pt idx="1">
                    <c:v>Negotiation</c:v>
                  </c:pt>
                  <c:pt idx="2">
                    <c:v>On Hold</c:v>
                  </c:pt>
                  <c:pt idx="3">
                    <c:v>Proposal</c:v>
                  </c:pt>
                  <c:pt idx="4">
                    <c:v>Qualified</c:v>
                  </c:pt>
                  <c:pt idx="5">
                    <c:v>Closed Lost</c:v>
                  </c:pt>
                  <c:pt idx="6">
                    <c:v>Closed Won</c:v>
                  </c:pt>
                  <c:pt idx="7">
                    <c:v>Negotiation</c:v>
                  </c:pt>
                  <c:pt idx="8">
                    <c:v>Proposal</c:v>
                  </c:pt>
                  <c:pt idx="9">
                    <c:v>Prospect</c:v>
                  </c:pt>
                  <c:pt idx="10">
                    <c:v>Qualified</c:v>
                  </c:pt>
                  <c:pt idx="11">
                    <c:v>Closed Lost</c:v>
                  </c:pt>
                  <c:pt idx="12">
                    <c:v>Closed Won</c:v>
                  </c:pt>
                  <c:pt idx="13">
                    <c:v>Negotiation</c:v>
                  </c:pt>
                  <c:pt idx="14">
                    <c:v>Proposal</c:v>
                  </c:pt>
                  <c:pt idx="15">
                    <c:v>Prospect</c:v>
                  </c:pt>
                  <c:pt idx="16">
                    <c:v>Qualified</c:v>
                  </c:pt>
                  <c:pt idx="17">
                    <c:v>Proposal</c:v>
                  </c:pt>
                  <c:pt idx="18">
                    <c:v>Prospect</c:v>
                  </c:pt>
                  <c:pt idx="19">
                    <c:v>Qualified</c:v>
                  </c:pt>
                  <c:pt idx="20">
                    <c:v>Closed Lost</c:v>
                  </c:pt>
                  <c:pt idx="21">
                    <c:v>Closed Won</c:v>
                  </c:pt>
                  <c:pt idx="22">
                    <c:v>Negotiation</c:v>
                  </c:pt>
                  <c:pt idx="23">
                    <c:v>On Hold</c:v>
                  </c:pt>
                  <c:pt idx="24">
                    <c:v>Proposal</c:v>
                  </c:pt>
                  <c:pt idx="25">
                    <c:v>Prospect</c:v>
                  </c:pt>
                  <c:pt idx="26">
                    <c:v>Qualified</c:v>
                  </c:pt>
                  <c:pt idx="27">
                    <c:v>Closed Lost</c:v>
                  </c:pt>
                  <c:pt idx="28">
                    <c:v>Closed Won</c:v>
                  </c:pt>
                  <c:pt idx="29">
                    <c:v>Negotiation</c:v>
                  </c:pt>
                  <c:pt idx="30">
                    <c:v>On Hold</c:v>
                  </c:pt>
                  <c:pt idx="31">
                    <c:v>Proposal</c:v>
                  </c:pt>
                  <c:pt idx="32">
                    <c:v>Prospect</c:v>
                  </c:pt>
                  <c:pt idx="33">
                    <c:v>Qualified</c:v>
                  </c:pt>
                  <c:pt idx="34">
                    <c:v>(blank)</c:v>
                  </c:pt>
                </c:lvl>
                <c:lvl>
                  <c:pt idx="0">
                    <c:v>Digital Inbound</c:v>
                  </c:pt>
                  <c:pt idx="5">
                    <c:v>Direct BD</c:v>
                  </c:pt>
                  <c:pt idx="11">
                    <c:v>Events</c:v>
                  </c:pt>
                  <c:pt idx="17">
                    <c:v>Partner Network</c:v>
                  </c:pt>
                  <c:pt idx="20">
                    <c:v>Referral – Broker</c:v>
                  </c:pt>
                  <c:pt idx="27">
                    <c:v>Referral – Client</c:v>
                  </c:pt>
                  <c:pt idx="34">
                    <c:v>(blank)</c:v>
                  </c:pt>
                </c:lvl>
              </c:multiLvlStrCache>
            </c:multiLvlStrRef>
          </c:cat>
          <c:val>
            <c:numRef>
              <c:f>'VISUALISATION TASKS'!$E$2:$E$44</c:f>
              <c:numCache>
                <c:formatCode>General</c:formatCode>
                <c:ptCount val="35"/>
                <c:pt idx="0">
                  <c:v>3</c:v>
                </c:pt>
                <c:pt idx="1">
                  <c:v>4</c:v>
                </c:pt>
                <c:pt idx="2">
                  <c:v>3</c:v>
                </c:pt>
                <c:pt idx="3">
                  <c:v>5</c:v>
                </c:pt>
                <c:pt idx="4">
                  <c:v>1</c:v>
                </c:pt>
                <c:pt idx="5">
                  <c:v>5</c:v>
                </c:pt>
                <c:pt idx="6">
                  <c:v>8</c:v>
                </c:pt>
                <c:pt idx="7">
                  <c:v>6</c:v>
                </c:pt>
                <c:pt idx="8">
                  <c:v>12</c:v>
                </c:pt>
                <c:pt idx="9">
                  <c:v>8</c:v>
                </c:pt>
                <c:pt idx="10">
                  <c:v>8</c:v>
                </c:pt>
                <c:pt idx="11">
                  <c:v>2</c:v>
                </c:pt>
                <c:pt idx="12">
                  <c:v>2</c:v>
                </c:pt>
                <c:pt idx="13">
                  <c:v>5</c:v>
                </c:pt>
                <c:pt idx="14">
                  <c:v>3</c:v>
                </c:pt>
                <c:pt idx="15">
                  <c:v>1</c:v>
                </c:pt>
                <c:pt idx="16">
                  <c:v>1</c:v>
                </c:pt>
                <c:pt idx="17">
                  <c:v>2</c:v>
                </c:pt>
                <c:pt idx="18">
                  <c:v>4</c:v>
                </c:pt>
                <c:pt idx="19">
                  <c:v>2</c:v>
                </c:pt>
                <c:pt idx="20">
                  <c:v>2</c:v>
                </c:pt>
                <c:pt idx="21">
                  <c:v>4</c:v>
                </c:pt>
                <c:pt idx="22">
                  <c:v>5</c:v>
                </c:pt>
                <c:pt idx="23">
                  <c:v>4</c:v>
                </c:pt>
                <c:pt idx="24">
                  <c:v>4</c:v>
                </c:pt>
                <c:pt idx="25">
                  <c:v>3</c:v>
                </c:pt>
                <c:pt idx="26">
                  <c:v>5</c:v>
                </c:pt>
                <c:pt idx="27">
                  <c:v>3</c:v>
                </c:pt>
                <c:pt idx="28">
                  <c:v>2</c:v>
                </c:pt>
                <c:pt idx="29">
                  <c:v>2</c:v>
                </c:pt>
                <c:pt idx="30">
                  <c:v>1</c:v>
                </c:pt>
                <c:pt idx="31">
                  <c:v>15</c:v>
                </c:pt>
                <c:pt idx="32">
                  <c:v>8</c:v>
                </c:pt>
                <c:pt idx="33">
                  <c:v>7</c:v>
                </c:pt>
              </c:numCache>
            </c:numRef>
          </c:val>
          <c:extLst>
            <c:ext xmlns:c16="http://schemas.microsoft.com/office/drawing/2014/chart" uri="{C3380CC4-5D6E-409C-BE32-E72D297353CC}">
              <c16:uniqueId val="{00000000-5047-D74C-B952-7438E59A13A4}"/>
            </c:ext>
          </c:extLst>
        </c:ser>
        <c:dLbls>
          <c:showLegendKey val="0"/>
          <c:showVal val="0"/>
          <c:showCatName val="0"/>
          <c:showSerName val="0"/>
          <c:showPercent val="0"/>
          <c:showBubbleSize val="0"/>
        </c:dLbls>
        <c:gapWidth val="219"/>
        <c:axId val="445186256"/>
        <c:axId val="445176368"/>
      </c:barChart>
      <c:catAx>
        <c:axId val="44518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76368"/>
        <c:crosses val="autoZero"/>
        <c:auto val="1"/>
        <c:lblAlgn val="ctr"/>
        <c:lblOffset val="100"/>
        <c:noMultiLvlLbl val="0"/>
      </c:catAx>
      <c:valAx>
        <c:axId val="445176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8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'VISUALISATION TASKS'!$U$2:$V$2</c:f>
              <c:strCache>
                <c:ptCount val="2"/>
                <c:pt idx="0">
                  <c:v>Forecast (R)</c:v>
                </c:pt>
                <c:pt idx="1">
                  <c:v>vs Target (R)</c:v>
                </c:pt>
              </c:strCache>
            </c:strRef>
          </c:cat>
          <c:val>
            <c:numRef>
              <c:f>'VISUALISATION TASKS'!$U$3:$V$3</c:f>
              <c:numCache>
                <c:formatCode>\R#\ ##0</c:formatCode>
                <c:ptCount val="2"/>
                <c:pt idx="0">
                  <c:v>367427000</c:v>
                </c:pt>
                <c:pt idx="1">
                  <c:v>154927000</c:v>
                </c:pt>
              </c:numCache>
            </c:numRef>
          </c:val>
          <c:extLst>
            <c:ext xmlns:c16="http://schemas.microsoft.com/office/drawing/2014/chart" uri="{C3380CC4-5D6E-409C-BE32-E72D297353CC}">
              <c16:uniqueId val="{00000000-7F05-3B4F-96FA-97CCB460833A}"/>
            </c:ext>
          </c:extLst>
        </c:ser>
        <c:ser>
          <c:idx val="1"/>
          <c:order val="1"/>
          <c:spPr>
            <a:solidFill>
              <a:schemeClr val="accent2"/>
            </a:solidFill>
            <a:ln>
              <a:noFill/>
            </a:ln>
            <a:effectLst/>
          </c:spPr>
          <c:invertIfNegative val="0"/>
          <c:cat>
            <c:strRef>
              <c:f>'VISUALISATION TASKS'!$U$2:$V$2</c:f>
              <c:strCache>
                <c:ptCount val="2"/>
                <c:pt idx="0">
                  <c:v>Forecast (R)</c:v>
                </c:pt>
                <c:pt idx="1">
                  <c:v>vs Target (R)</c:v>
                </c:pt>
              </c:strCache>
            </c:strRef>
          </c:cat>
          <c:val>
            <c:numRef>
              <c:f>'VISUALISATION TASKS'!$U$4:$V$4</c:f>
              <c:numCache>
                <c:formatCode>\R#\ ##0</c:formatCode>
                <c:ptCount val="2"/>
                <c:pt idx="0">
                  <c:v>609653000</c:v>
                </c:pt>
                <c:pt idx="1">
                  <c:v>397153000</c:v>
                </c:pt>
              </c:numCache>
            </c:numRef>
          </c:val>
          <c:extLst>
            <c:ext xmlns:c16="http://schemas.microsoft.com/office/drawing/2014/chart" uri="{C3380CC4-5D6E-409C-BE32-E72D297353CC}">
              <c16:uniqueId val="{00000001-7F05-3B4F-96FA-97CCB460833A}"/>
            </c:ext>
          </c:extLst>
        </c:ser>
        <c:ser>
          <c:idx val="2"/>
          <c:order val="2"/>
          <c:spPr>
            <a:solidFill>
              <a:schemeClr val="accent3"/>
            </a:solidFill>
            <a:ln>
              <a:noFill/>
            </a:ln>
            <a:effectLst/>
          </c:spPr>
          <c:invertIfNegative val="0"/>
          <c:cat>
            <c:strRef>
              <c:f>'VISUALISATION TASKS'!$U$2:$V$2</c:f>
              <c:strCache>
                <c:ptCount val="2"/>
                <c:pt idx="0">
                  <c:v>Forecast (R)</c:v>
                </c:pt>
                <c:pt idx="1">
                  <c:v>vs Target (R)</c:v>
                </c:pt>
              </c:strCache>
            </c:strRef>
          </c:cat>
          <c:val>
            <c:numRef>
              <c:f>'VISUALISATION TASKS'!$U$5:$V$5</c:f>
              <c:numCache>
                <c:formatCode>\R#\ ##0</c:formatCode>
                <c:ptCount val="2"/>
                <c:pt idx="0">
                  <c:v>581947000</c:v>
                </c:pt>
                <c:pt idx="1">
                  <c:v>369447000</c:v>
                </c:pt>
              </c:numCache>
            </c:numRef>
          </c:val>
          <c:extLst>
            <c:ext xmlns:c16="http://schemas.microsoft.com/office/drawing/2014/chart" uri="{C3380CC4-5D6E-409C-BE32-E72D297353CC}">
              <c16:uniqueId val="{00000002-7F05-3B4F-96FA-97CCB460833A}"/>
            </c:ext>
          </c:extLst>
        </c:ser>
        <c:ser>
          <c:idx val="3"/>
          <c:order val="3"/>
          <c:spPr>
            <a:solidFill>
              <a:schemeClr val="accent4"/>
            </a:solidFill>
            <a:ln>
              <a:noFill/>
            </a:ln>
            <a:effectLst/>
          </c:spPr>
          <c:invertIfNegative val="0"/>
          <c:cat>
            <c:strRef>
              <c:f>'VISUALISATION TASKS'!$U$2:$V$2</c:f>
              <c:strCache>
                <c:ptCount val="2"/>
                <c:pt idx="0">
                  <c:v>Forecast (R)</c:v>
                </c:pt>
                <c:pt idx="1">
                  <c:v>vs Target (R)</c:v>
                </c:pt>
              </c:strCache>
            </c:strRef>
          </c:cat>
          <c:val>
            <c:numRef>
              <c:f>'VISUALISATION TASKS'!$U$6:$V$6</c:f>
              <c:numCache>
                <c:formatCode>\R#\ ##0</c:formatCode>
                <c:ptCount val="2"/>
                <c:pt idx="0">
                  <c:v>666126000</c:v>
                </c:pt>
                <c:pt idx="1">
                  <c:v>453626000</c:v>
                </c:pt>
              </c:numCache>
            </c:numRef>
          </c:val>
          <c:extLst>
            <c:ext xmlns:c16="http://schemas.microsoft.com/office/drawing/2014/chart" uri="{C3380CC4-5D6E-409C-BE32-E72D297353CC}">
              <c16:uniqueId val="{00000003-7F05-3B4F-96FA-97CCB460833A}"/>
            </c:ext>
          </c:extLst>
        </c:ser>
        <c:ser>
          <c:idx val="4"/>
          <c:order val="4"/>
          <c:spPr>
            <a:solidFill>
              <a:schemeClr val="accent5"/>
            </a:solidFill>
            <a:ln>
              <a:noFill/>
            </a:ln>
            <a:effectLst/>
          </c:spPr>
          <c:invertIfNegative val="0"/>
          <c:cat>
            <c:strRef>
              <c:f>'VISUALISATION TASKS'!$U$2:$V$2</c:f>
              <c:strCache>
                <c:ptCount val="2"/>
                <c:pt idx="0">
                  <c:v>Forecast (R)</c:v>
                </c:pt>
                <c:pt idx="1">
                  <c:v>vs Target (R)</c:v>
                </c:pt>
              </c:strCache>
            </c:strRef>
          </c:cat>
          <c:val>
            <c:numRef>
              <c:f>'VISUALISATION TASKS'!$U$7:$V$7</c:f>
              <c:numCache>
                <c:formatCode>\R#\ ##0</c:formatCode>
                <c:ptCount val="2"/>
                <c:pt idx="0">
                  <c:v>2225153000</c:v>
                </c:pt>
                <c:pt idx="1">
                  <c:v>1375153000</c:v>
                </c:pt>
              </c:numCache>
            </c:numRef>
          </c:val>
          <c:extLst>
            <c:ext xmlns:c16="http://schemas.microsoft.com/office/drawing/2014/chart" uri="{C3380CC4-5D6E-409C-BE32-E72D297353CC}">
              <c16:uniqueId val="{00000004-7F05-3B4F-96FA-97CCB460833A}"/>
            </c:ext>
          </c:extLst>
        </c:ser>
        <c:dLbls>
          <c:showLegendKey val="0"/>
          <c:showVal val="0"/>
          <c:showCatName val="0"/>
          <c:showSerName val="0"/>
          <c:showPercent val="0"/>
          <c:showBubbleSize val="0"/>
        </c:dLbls>
        <c:gapWidth val="150"/>
        <c:overlap val="100"/>
        <c:axId val="537410928"/>
        <c:axId val="490009888"/>
      </c:barChart>
      <c:catAx>
        <c:axId val="53741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009888"/>
        <c:crosses val="autoZero"/>
        <c:auto val="1"/>
        <c:lblAlgn val="ctr"/>
        <c:lblOffset val="100"/>
        <c:noMultiLvlLbl val="0"/>
      </c:catAx>
      <c:valAx>
        <c:axId val="490009888"/>
        <c:scaling>
          <c:orientation val="minMax"/>
        </c:scaling>
        <c:delete val="0"/>
        <c:axPos val="l"/>
        <c:majorGridlines>
          <c:spPr>
            <a:ln w="9525" cap="flat" cmpd="sng" algn="ctr">
              <a:solidFill>
                <a:schemeClr val="tx1">
                  <a:lumMod val="15000"/>
                  <a:lumOff val="85000"/>
                </a:schemeClr>
              </a:solidFill>
              <a:round/>
            </a:ln>
            <a:effectLst/>
          </c:spPr>
        </c:majorGridlines>
        <c:numFmt formatCode="\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10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txData>
          <cx:v>Deal Distribution of Pipeline By Product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of Pipeline By Product</a:t>
          </a:r>
        </a:p>
      </cx:txPr>
    </cx:title>
    <cx:plotArea>
      <cx:plotAreaRegion>
        <cx:series layoutId="funnel" uniqueId="{4814F5B0-E955-6645-A857-AC99DD612AE3}">
          <cx:tx>
            <cx:txData>
              <cx:f>_xlchart.v2.10</cx:f>
              <cx:v>Deals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Deal distribution by Pipeline by Region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by Pipeline by Region</a:t>
          </a:r>
        </a:p>
      </cx:txPr>
    </cx:title>
    <cx:plotArea>
      <cx:plotAreaRegion>
        <cx:series layoutId="funnel" uniqueId="{EC55381F-D7F8-9F49-9AD6-182B56011A62}">
          <cx:tx>
            <cx:txData>
              <cx:f>_xlchart.v2.7</cx:f>
              <cx:v>Deals</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Deal Distribution by Pipeline by Channel</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by Pipeline by Channel</a:t>
          </a:r>
        </a:p>
      </cx:txPr>
    </cx:title>
    <cx:plotArea>
      <cx:plotAreaRegion>
        <cx:series layoutId="funnel" uniqueId="{34EAEE16-BBB4-FE45-9615-CD8C595C5AF3}">
          <cx:tx>
            <cx:txData>
              <cx:f>_xlchart.v2.1</cx:f>
              <cx:v>Deals</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Deal Distribution by Pipeline by Stage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Deal Distribution by Pipeline by Stage</a:t>
          </a:r>
        </a:p>
      </cx:txPr>
    </cx:title>
    <cx:plotArea>
      <cx:plotAreaRegion>
        <cx:series layoutId="funnel" uniqueId="{939EBF50-11DE-9C40-AFF0-FEAC6F412A8D}">
          <cx:tx>
            <cx:txData>
              <cx:f>_xlchart.v2.4</cx:f>
              <cx:v>Deals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microsoft.com/office/2014/relationships/chartEx" Target="../charts/chartEx3.xml"/><Relationship Id="rId12" Type="http://schemas.openxmlformats.org/officeDocument/2006/relationships/chart" Target="../charts/chart14.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11" Type="http://schemas.openxmlformats.org/officeDocument/2006/relationships/chart" Target="../charts/chart13.xml"/><Relationship Id="rId5" Type="http://schemas.microsoft.com/office/2014/relationships/chartEx" Target="../charts/chartEx1.xml"/><Relationship Id="rId10" Type="http://schemas.openxmlformats.org/officeDocument/2006/relationships/chart" Target="../charts/chart12.xml"/><Relationship Id="rId4" Type="http://schemas.openxmlformats.org/officeDocument/2006/relationships/chart" Target="../charts/chart10.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196850</xdr:colOff>
      <xdr:row>16</xdr:row>
      <xdr:rowOff>152400</xdr:rowOff>
    </xdr:from>
    <xdr:to>
      <xdr:col>4</xdr:col>
      <xdr:colOff>577850</xdr:colOff>
      <xdr:row>31</xdr:row>
      <xdr:rowOff>38100</xdr:rowOff>
    </xdr:to>
    <xdr:graphicFrame macro="">
      <xdr:nvGraphicFramePr>
        <xdr:cNvPr id="3" name="Chart 2">
          <a:extLst>
            <a:ext uri="{FF2B5EF4-FFF2-40B4-BE49-F238E27FC236}">
              <a16:creationId xmlns:a16="http://schemas.microsoft.com/office/drawing/2014/main" id="{1A6E7669-CD68-2558-3CF6-208006F0A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889001</xdr:colOff>
      <xdr:row>18</xdr:row>
      <xdr:rowOff>29633</xdr:rowOff>
    </xdr:from>
    <xdr:to>
      <xdr:col>9</xdr:col>
      <xdr:colOff>279401</xdr:colOff>
      <xdr:row>32</xdr:row>
      <xdr:rowOff>46566</xdr:rowOff>
    </xdr:to>
    <xdr:graphicFrame macro="">
      <xdr:nvGraphicFramePr>
        <xdr:cNvPr id="4" name="Chart 3">
          <a:extLst>
            <a:ext uri="{FF2B5EF4-FFF2-40B4-BE49-F238E27FC236}">
              <a16:creationId xmlns:a16="http://schemas.microsoft.com/office/drawing/2014/main" id="{5DCBBBEA-1F9D-A533-80CC-581CE715D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743580</xdr:colOff>
      <xdr:row>18</xdr:row>
      <xdr:rowOff>194</xdr:rowOff>
    </xdr:from>
    <xdr:to>
      <xdr:col>16</xdr:col>
      <xdr:colOff>138634</xdr:colOff>
      <xdr:row>32</xdr:row>
      <xdr:rowOff>28891</xdr:rowOff>
    </xdr:to>
    <xdr:graphicFrame macro="">
      <xdr:nvGraphicFramePr>
        <xdr:cNvPr id="5" name="Chart 4">
          <a:extLst>
            <a:ext uri="{FF2B5EF4-FFF2-40B4-BE49-F238E27FC236}">
              <a16:creationId xmlns:a16="http://schemas.microsoft.com/office/drawing/2014/main" id="{64048201-FA25-CE35-2709-5415F17E9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225461</xdr:colOff>
      <xdr:row>43</xdr:row>
      <xdr:rowOff>183793</xdr:rowOff>
    </xdr:from>
    <xdr:to>
      <xdr:col>4</xdr:col>
      <xdr:colOff>644989</xdr:colOff>
      <xdr:row>58</xdr:row>
      <xdr:rowOff>144409</xdr:rowOff>
    </xdr:to>
    <xdr:graphicFrame macro="">
      <xdr:nvGraphicFramePr>
        <xdr:cNvPr id="7" name="Chart 6">
          <a:extLst>
            <a:ext uri="{FF2B5EF4-FFF2-40B4-BE49-F238E27FC236}">
              <a16:creationId xmlns:a16="http://schemas.microsoft.com/office/drawing/2014/main" id="{A70031CD-3532-A464-5821-C35B0B728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2141</xdr:colOff>
      <xdr:row>36</xdr:row>
      <xdr:rowOff>13545</xdr:rowOff>
    </xdr:from>
    <xdr:to>
      <xdr:col>4</xdr:col>
      <xdr:colOff>1068186</xdr:colOff>
      <xdr:row>50</xdr:row>
      <xdr:rowOff>124451</xdr:rowOff>
    </xdr:to>
    <xdr:graphicFrame macro="">
      <xdr:nvGraphicFramePr>
        <xdr:cNvPr id="5" name="Chart 4">
          <a:extLst>
            <a:ext uri="{FF2B5EF4-FFF2-40B4-BE49-F238E27FC236}">
              <a16:creationId xmlns:a16="http://schemas.microsoft.com/office/drawing/2014/main" id="{D786C4D5-3AD8-3EDC-187D-7AD1018B7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501950</xdr:colOff>
      <xdr:row>35</xdr:row>
      <xdr:rowOff>181194</xdr:rowOff>
    </xdr:from>
    <xdr:to>
      <xdr:col>11</xdr:col>
      <xdr:colOff>64197</xdr:colOff>
      <xdr:row>50</xdr:row>
      <xdr:rowOff>64386</xdr:rowOff>
    </xdr:to>
    <xdr:graphicFrame macro="">
      <xdr:nvGraphicFramePr>
        <xdr:cNvPr id="2" name="Chart 1">
          <a:extLst>
            <a:ext uri="{FF2B5EF4-FFF2-40B4-BE49-F238E27FC236}">
              <a16:creationId xmlns:a16="http://schemas.microsoft.com/office/drawing/2014/main" id="{1A8201A5-C566-88EC-753E-CB4CF6CF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34</xdr:row>
      <xdr:rowOff>50800</xdr:rowOff>
    </xdr:from>
    <xdr:to>
      <xdr:col>4</xdr:col>
      <xdr:colOff>1143000</xdr:colOff>
      <xdr:row>48</xdr:row>
      <xdr:rowOff>127000</xdr:rowOff>
    </xdr:to>
    <xdr:graphicFrame macro="">
      <xdr:nvGraphicFramePr>
        <xdr:cNvPr id="2" name="Chart 1">
          <a:extLst>
            <a:ext uri="{FF2B5EF4-FFF2-40B4-BE49-F238E27FC236}">
              <a16:creationId xmlns:a16="http://schemas.microsoft.com/office/drawing/2014/main" id="{02776149-E49C-6CB7-8716-3F4BEC404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165100</xdr:rowOff>
    </xdr:from>
    <xdr:to>
      <xdr:col>4</xdr:col>
      <xdr:colOff>1143000</xdr:colOff>
      <xdr:row>64</xdr:row>
      <xdr:rowOff>50800</xdr:rowOff>
    </xdr:to>
    <xdr:graphicFrame macro="">
      <xdr:nvGraphicFramePr>
        <xdr:cNvPr id="4" name="Chart 3">
          <a:extLst>
            <a:ext uri="{FF2B5EF4-FFF2-40B4-BE49-F238E27FC236}">
              <a16:creationId xmlns:a16="http://schemas.microsoft.com/office/drawing/2014/main" id="{730B674B-CEF2-AE38-C0DA-ADDCD867F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34</xdr:row>
      <xdr:rowOff>12700</xdr:rowOff>
    </xdr:from>
    <xdr:to>
      <xdr:col>10</xdr:col>
      <xdr:colOff>21167</xdr:colOff>
      <xdr:row>48</xdr:row>
      <xdr:rowOff>88900</xdr:rowOff>
    </xdr:to>
    <xdr:graphicFrame macro="">
      <xdr:nvGraphicFramePr>
        <xdr:cNvPr id="5" name="Chart 4">
          <a:extLst>
            <a:ext uri="{FF2B5EF4-FFF2-40B4-BE49-F238E27FC236}">
              <a16:creationId xmlns:a16="http://schemas.microsoft.com/office/drawing/2014/main" id="{A151B5B8-E33B-B85F-3923-7F57B6BE2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558800</xdr:colOff>
      <xdr:row>49</xdr:row>
      <xdr:rowOff>166108</xdr:rowOff>
    </xdr:from>
    <xdr:to>
      <xdr:col>10</xdr:col>
      <xdr:colOff>21771</xdr:colOff>
      <xdr:row>64</xdr:row>
      <xdr:rowOff>181429</xdr:rowOff>
    </xdr:to>
    <xdr:graphicFrame macro="">
      <xdr:nvGraphicFramePr>
        <xdr:cNvPr id="7" name="Chart 6" descr="Chart type: Clustered Column, Line. 'Total Value (R)', 'Avg Deal (R)' by 'Region'&#10;&#10;Description automatically generated">
          <a:extLst>
            <a:ext uri="{FF2B5EF4-FFF2-40B4-BE49-F238E27FC236}">
              <a16:creationId xmlns:a16="http://schemas.microsoft.com/office/drawing/2014/main" id="{16861167-AA3B-C454-3E9E-F9BF536F2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16934</xdr:colOff>
      <xdr:row>50</xdr:row>
      <xdr:rowOff>139700</xdr:rowOff>
    </xdr:from>
    <xdr:to>
      <xdr:col>22</xdr:col>
      <xdr:colOff>575734</xdr:colOff>
      <xdr:row>65</xdr:row>
      <xdr:rowOff>71967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F640144-138E-CDC9-1DDA-2B75F865A4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152534" y="10934700"/>
              <a:ext cx="4559300" cy="31707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643467</xdr:colOff>
      <xdr:row>34</xdr:row>
      <xdr:rowOff>160867</xdr:rowOff>
    </xdr:from>
    <xdr:to>
      <xdr:col>30</xdr:col>
      <xdr:colOff>474133</xdr:colOff>
      <xdr:row>49</xdr:row>
      <xdr:rowOff>110067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A79091B-E096-2084-8252-C5335DE623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452667" y="7501467"/>
              <a:ext cx="4542366" cy="3187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643468</xdr:colOff>
      <xdr:row>50</xdr:row>
      <xdr:rowOff>126999</xdr:rowOff>
    </xdr:from>
    <xdr:to>
      <xdr:col>30</xdr:col>
      <xdr:colOff>474134</xdr:colOff>
      <xdr:row>65</xdr:row>
      <xdr:rowOff>76199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7D63A66-83CC-06CE-9A0D-02D3113139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3452668" y="10921999"/>
              <a:ext cx="4542366" cy="3187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16933</xdr:colOff>
      <xdr:row>34</xdr:row>
      <xdr:rowOff>160867</xdr:rowOff>
    </xdr:from>
    <xdr:to>
      <xdr:col>22</xdr:col>
      <xdr:colOff>558800</xdr:colOff>
      <xdr:row>49</xdr:row>
      <xdr:rowOff>110067</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C808A226-862B-683F-66C2-5FF3828FEC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8152533" y="7501467"/>
              <a:ext cx="4542367" cy="3187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982774</xdr:colOff>
      <xdr:row>71</xdr:row>
      <xdr:rowOff>100617</xdr:rowOff>
    </xdr:from>
    <xdr:to>
      <xdr:col>22</xdr:col>
      <xdr:colOff>582143</xdr:colOff>
      <xdr:row>83</xdr:row>
      <xdr:rowOff>52841</xdr:rowOff>
    </xdr:to>
    <xdr:graphicFrame macro="">
      <xdr:nvGraphicFramePr>
        <xdr:cNvPr id="13" name="Chart 12">
          <a:extLst>
            <a:ext uri="{FF2B5EF4-FFF2-40B4-BE49-F238E27FC236}">
              <a16:creationId xmlns:a16="http://schemas.microsoft.com/office/drawing/2014/main" id="{5DC09468-3B6F-EE8C-96E8-ECFABF900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81973</xdr:colOff>
      <xdr:row>71</xdr:row>
      <xdr:rowOff>76602</xdr:rowOff>
    </xdr:from>
    <xdr:to>
      <xdr:col>30</xdr:col>
      <xdr:colOff>565727</xdr:colOff>
      <xdr:row>83</xdr:row>
      <xdr:rowOff>210414</xdr:rowOff>
    </xdr:to>
    <xdr:graphicFrame macro="">
      <xdr:nvGraphicFramePr>
        <xdr:cNvPr id="14" name="Chart 13">
          <a:extLst>
            <a:ext uri="{FF2B5EF4-FFF2-40B4-BE49-F238E27FC236}">
              <a16:creationId xmlns:a16="http://schemas.microsoft.com/office/drawing/2014/main" id="{5292F189-4F4E-642D-0294-2BBBC94ED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21285</xdr:colOff>
      <xdr:row>85</xdr:row>
      <xdr:rowOff>95197</xdr:rowOff>
    </xdr:from>
    <xdr:to>
      <xdr:col>22</xdr:col>
      <xdr:colOff>581146</xdr:colOff>
      <xdr:row>98</xdr:row>
      <xdr:rowOff>31698</xdr:rowOff>
    </xdr:to>
    <xdr:graphicFrame macro="">
      <xdr:nvGraphicFramePr>
        <xdr:cNvPr id="15" name="Chart 14">
          <a:extLst>
            <a:ext uri="{FF2B5EF4-FFF2-40B4-BE49-F238E27FC236}">
              <a16:creationId xmlns:a16="http://schemas.microsoft.com/office/drawing/2014/main" id="{6458069A-4A5A-291A-C651-9751E0CBD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7057</xdr:colOff>
      <xdr:row>82</xdr:row>
      <xdr:rowOff>21638</xdr:rowOff>
    </xdr:from>
    <xdr:to>
      <xdr:col>8</xdr:col>
      <xdr:colOff>0</xdr:colOff>
      <xdr:row>103</xdr:row>
      <xdr:rowOff>0</xdr:rowOff>
    </xdr:to>
    <xdr:graphicFrame macro="">
      <xdr:nvGraphicFramePr>
        <xdr:cNvPr id="6" name="Chart 5">
          <a:extLst>
            <a:ext uri="{FF2B5EF4-FFF2-40B4-BE49-F238E27FC236}">
              <a16:creationId xmlns:a16="http://schemas.microsoft.com/office/drawing/2014/main" id="{64917981-D123-8CC3-DE39-380FDE7E2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21525</xdr:colOff>
      <xdr:row>103</xdr:row>
      <xdr:rowOff>43051</xdr:rowOff>
    </xdr:from>
    <xdr:to>
      <xdr:col>8</xdr:col>
      <xdr:colOff>0</xdr:colOff>
      <xdr:row>117</xdr:row>
      <xdr:rowOff>21525</xdr:rowOff>
    </xdr:to>
    <xdr:sp macro="" textlink="">
      <xdr:nvSpPr>
        <xdr:cNvPr id="12" name="TextBox 11">
          <a:extLst>
            <a:ext uri="{FF2B5EF4-FFF2-40B4-BE49-F238E27FC236}">
              <a16:creationId xmlns:a16="http://schemas.microsoft.com/office/drawing/2014/main" id="{0517C451-9DBC-1A31-F845-BF797E0579A6}"/>
            </a:ext>
          </a:extLst>
        </xdr:cNvPr>
        <xdr:cNvSpPr txBox="1"/>
      </xdr:nvSpPr>
      <xdr:spPr>
        <a:xfrm>
          <a:off x="258305" y="22214237"/>
          <a:ext cx="8244237" cy="2992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b="0" i="0" u="none" strike="noStrike">
              <a:solidFill>
                <a:schemeClr val="dk1"/>
              </a:solidFill>
              <a:effectLst/>
              <a:latin typeface="+mn-lt"/>
              <a:ea typeface="+mn-ea"/>
              <a:cs typeface="+mn-cs"/>
            </a:rPr>
            <a:t>Referral channels (Referral – Client and Referral – Broker) consistently produce larger deals than outbound channels. Direct BD has the highest volume but mid-range deal sizes. Digital Inbound produces smaller deals — useful for top-of-funnel but not for large-ticket revenue.</a:t>
          </a:r>
          <a:r>
            <a:rPr lang="en-ZA" sz="1600"/>
            <a:t> </a:t>
          </a:r>
        </a:p>
        <a:p>
          <a:endParaRPr lang="en-ZA" sz="1600"/>
        </a:p>
        <a:p>
          <a:pPr marL="0" marR="0" indent="0" defTabSz="914400" eaLnBrk="1" fontAlgn="auto" latinLnBrk="0" hangingPunct="1">
            <a:lnSpc>
              <a:spcPct val="100000"/>
            </a:lnSpc>
            <a:spcBef>
              <a:spcPts val="0"/>
            </a:spcBef>
            <a:spcAft>
              <a:spcPts val="0"/>
            </a:spcAft>
            <a:buClrTx/>
            <a:buSzTx/>
            <a:buFontTx/>
            <a:buNone/>
            <a:tabLst/>
            <a:defRPr/>
          </a:pPr>
          <a:r>
            <a:rPr lang="en-GB" sz="1600"/>
            <a:t>Formalise the client referral programme. A structured ask-for-referral process at deal closure could meaningfully increase pipeline quality without additional BD headcount.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2739</xdr:colOff>
      <xdr:row>0</xdr:row>
      <xdr:rowOff>0</xdr:rowOff>
    </xdr:from>
    <xdr:to>
      <xdr:col>16</xdr:col>
      <xdr:colOff>764739</xdr:colOff>
      <xdr:row>22</xdr:row>
      <xdr:rowOff>0</xdr:rowOff>
    </xdr:to>
    <xdr:graphicFrame macro="">
      <xdr:nvGraphicFramePr>
        <xdr:cNvPr id="3" name="Visualisation Chart 1">
          <a:extLst>
            <a:ext uri="{FF2B5EF4-FFF2-40B4-BE49-F238E27FC236}">
              <a16:creationId xmlns:a16="http://schemas.microsoft.com/office/drawing/2014/main" id="{F44FE3D9-0C9D-5050-715B-0E4BC8AB7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445870</xdr:colOff>
      <xdr:row>10</xdr:row>
      <xdr:rowOff>177070</xdr:rowOff>
    </xdr:from>
    <xdr:to>
      <xdr:col>23</xdr:col>
      <xdr:colOff>723626</xdr:colOff>
      <xdr:row>25</xdr:row>
      <xdr:rowOff>42212</xdr:rowOff>
    </xdr:to>
    <xdr:graphicFrame macro="">
      <xdr:nvGraphicFramePr>
        <xdr:cNvPr id="12" name="Chart 11">
          <a:extLst>
            <a:ext uri="{FF2B5EF4-FFF2-40B4-BE49-F238E27FC236}">
              <a16:creationId xmlns:a16="http://schemas.microsoft.com/office/drawing/2014/main" id="{B29DFDCA-BBE1-8BE1-5608-B42E3588B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5.488982523151" createdVersion="8" refreshedVersion="8" minRefreshableVersion="3" recordCount="8" xr:uid="{FF8CA7BC-B2E1-9F4A-A2B0-C4CBDDB4735C}">
  <cacheSource type="worksheet">
    <worksheetSource ref="B23:F31" sheet="Dashboard"/>
  </cacheSource>
  <cacheFields count="5">
    <cacheField name="Product" numFmtId="0">
      <sharedItems count="8">
        <s v="Structured Lending"/>
        <s v="Wealth Planning"/>
        <s v="Trade Finance"/>
        <s v="Risk Management"/>
        <s v="Equity Advisory"/>
        <s v="Corporate Finance"/>
        <s v="Capital Markets"/>
        <s v="Treasury Solutions"/>
      </sharedItems>
    </cacheField>
    <cacheField name="Deals" numFmtId="0">
      <sharedItems containsSemiMixedTypes="0" containsString="0" containsNumber="1" containsInteger="1" minValue="14" maxValue="22"/>
    </cacheField>
    <cacheField name="Total Value (R)" numFmtId="165">
      <sharedItems containsSemiMixedTypes="0" containsString="0" containsNumber="1" containsInteger="1" minValue="651296000" maxValue="1177970000"/>
    </cacheField>
    <cacheField name="Weighted (R)" numFmtId="165">
      <sharedItems containsSemiMixedTypes="0" containsString="0" containsNumber="1" containsInteger="1" minValue="172642000" maxValue="532389000"/>
    </cacheField>
    <cacheField name="Avg Deal (R)" numFmtId="165">
      <sharedItems containsSemiMixedTypes="0" containsString="0" containsNumber="1" minValue="35013947.368421063" maxValue="53544090.9090909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5.622049189813" createdVersion="8" refreshedVersion="8" minRefreshableVersion="3" recordCount="151" xr:uid="{EBC61F06-144F-D64D-8D7C-35F6CAE29C43}">
  <cacheSource type="worksheet">
    <worksheetSource ref="A1:B1048576" sheet="VISUALISATION TASKS"/>
  </cacheSource>
  <cacheFields count="2">
    <cacheField name="Stage" numFmtId="0">
      <sharedItems containsBlank="1" count="8">
        <s v="Proposal"/>
        <s v="Closed Won"/>
        <s v="Qualified"/>
        <s v="On Hold"/>
        <s v="Prospect"/>
        <s v="Closed Lost"/>
        <s v="Negotiation"/>
        <m/>
      </sharedItems>
    </cacheField>
    <cacheField name="Channel" numFmtId="0">
      <sharedItems containsBlank="1" count="7">
        <s v="Direct BD"/>
        <s v="Events"/>
        <s v="Referral – Client"/>
        <s v="Referral – Broker"/>
        <s v="Digital Inbound"/>
        <s v="Partner Network"/>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6.653120023147" createdVersion="8" refreshedVersion="8" minRefreshableVersion="3" recordCount="321" xr:uid="{015DD5C5-C905-3A47-AF91-48E303E30969}">
  <cacheSource type="worksheet">
    <worksheetSource ref="AH1:AI1048576" sheet="Dashboard"/>
  </cacheSource>
  <cacheFields count="2">
    <cacheField name="Product" numFmtId="0">
      <sharedItems containsBlank="1" count="9">
        <s v="Wealth Planning"/>
        <s v="Structured Lending"/>
        <s v="Risk Management"/>
        <s v="Corporate Finance"/>
        <s v="Equity Advisory"/>
        <s v="Capital Markets"/>
        <s v="Trade Finance"/>
        <s v="Treasury Solutions"/>
        <m/>
      </sharedItems>
    </cacheField>
    <cacheField name="Deal Value (R)" numFmtId="0">
      <sharedItems containsString="0" containsBlank="1" containsNumber="1" containsInteger="1" minValue="726000" maxValue="84112000" count="151">
        <n v="84112000"/>
        <n v="83697000"/>
        <n v="81723000"/>
        <n v="80717000"/>
        <n v="80692000"/>
        <n v="80444000"/>
        <n v="80211000"/>
        <n v="79719000"/>
        <n v="78781000"/>
        <n v="78714000"/>
        <n v="77407000"/>
        <n v="76459000"/>
        <n v="76226000"/>
        <n v="75827000"/>
        <n v="75382000"/>
        <n v="74493000"/>
        <n v="74472000"/>
        <n v="74417000"/>
        <n v="73489000"/>
        <n v="73167000"/>
        <n v="72484000"/>
        <n v="72305000"/>
        <n v="71587000"/>
        <n v="70980000"/>
        <n v="70591000"/>
        <n v="70212000"/>
        <n v="69271000"/>
        <n v="69176000"/>
        <n v="68632000"/>
        <n v="68394000"/>
        <n v="67798000"/>
        <n v="66859000"/>
        <n v="66595000"/>
        <n v="65130000"/>
        <n v="64266000"/>
        <n v="63948000"/>
        <n v="63679000"/>
        <n v="63582000"/>
        <n v="62682000"/>
        <n v="61794000"/>
        <n v="61468000"/>
        <n v="61164000"/>
        <n v="60941000"/>
        <n v="60886000"/>
        <n v="60559000"/>
        <n v="60321000"/>
        <n v="59410000"/>
        <n v="58586000"/>
        <n v="58108000"/>
        <n v="57739000"/>
        <n v="57555000"/>
        <n v="57269000"/>
        <n v="56824000"/>
        <n v="56811000"/>
        <n v="56328000"/>
        <n v="55807000"/>
        <n v="55421000"/>
        <n v="54273000"/>
        <n v="54127000"/>
        <n v="53559000"/>
        <n v="51944000"/>
        <n v="51865000"/>
        <n v="51323000"/>
        <n v="50573000"/>
        <n v="49954000"/>
        <n v="49702000"/>
        <n v="49219000"/>
        <n v="47821000"/>
        <n v="47642000"/>
        <n v="46939000"/>
        <n v="46494000"/>
        <n v="46313000"/>
        <n v="45972000"/>
        <n v="45721000"/>
        <n v="45127000"/>
        <n v="44987000"/>
        <n v="44816000"/>
        <n v="44363000"/>
        <n v="44237000"/>
        <n v="44072000"/>
        <n v="43815000"/>
        <n v="43385000"/>
        <n v="41690000"/>
        <n v="40652000"/>
        <n v="40500000"/>
        <n v="39117000"/>
        <n v="38846000"/>
        <n v="38781000"/>
        <n v="38199000"/>
        <n v="37826000"/>
        <n v="37514000"/>
        <n v="37378000"/>
        <n v="37357000"/>
        <n v="37047000"/>
        <n v="37039000"/>
        <n v="36801000"/>
        <n v="36572000"/>
        <n v="36570000"/>
        <n v="36502000"/>
        <n v="36250000"/>
        <n v="35648000"/>
        <n v="34840000"/>
        <n v="34559000"/>
        <n v="34506000"/>
        <n v="33867000"/>
        <n v="33309000"/>
        <n v="33003000"/>
        <n v="31739000"/>
        <n v="31272000"/>
        <n v="30412000"/>
        <n v="29495000"/>
        <n v="28600000"/>
        <n v="27475000"/>
        <n v="27301000"/>
        <n v="25524000"/>
        <n v="25009000"/>
        <n v="24564000"/>
        <n v="24389000"/>
        <n v="24195000"/>
        <n v="23980000"/>
        <n v="23619000"/>
        <n v="23547000"/>
        <n v="22726000"/>
        <n v="22500000"/>
        <n v="21232000"/>
        <n v="20342000"/>
        <n v="18693000"/>
        <n v="18351000"/>
        <n v="17674000"/>
        <n v="15822000"/>
        <n v="15012000"/>
        <n v="14106000"/>
        <n v="13320000"/>
        <n v="12442000"/>
        <n v="12256000"/>
        <n v="12190000"/>
        <n v="11746000"/>
        <n v="10578000"/>
        <n v="10117000"/>
        <n v="9476000"/>
        <n v="9409000"/>
        <n v="8521000"/>
        <n v="6891000"/>
        <n v="5552000"/>
        <n v="4215000"/>
        <n v="2905000"/>
        <n v="2819000"/>
        <n v="2096000"/>
        <n v="753000"/>
        <n v="726000"/>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6.668237384256" createdVersion="8" refreshedVersion="8" minRefreshableVersion="3" recordCount="321" xr:uid="{62D3949F-709A-C842-AE6B-330BF07EDEB1}">
  <cacheSource type="worksheet">
    <worksheetSource ref="AN1:AO1048576" sheet="Dashboard"/>
  </cacheSource>
  <cacheFields count="2">
    <cacheField name="Region" numFmtId="0">
      <sharedItems containsBlank="1" count="6">
        <s v="KwaZulu-Natal"/>
        <s v="Gauteng"/>
        <s v="Western Cape"/>
        <s v="Free State"/>
        <s v="Eastern Cape"/>
        <m/>
      </sharedItems>
    </cacheField>
    <cacheField name="Deal Value (R)" numFmtId="0">
      <sharedItems containsString="0" containsBlank="1" containsNumber="1" containsInteger="1" minValue="726000" maxValue="84112000" count="151">
        <n v="47642000"/>
        <n v="22500000"/>
        <n v="8521000"/>
        <n v="12190000"/>
        <n v="55807000"/>
        <n v="56824000"/>
        <n v="49219000"/>
        <n v="12442000"/>
        <n v="55421000"/>
        <n v="81723000"/>
        <n v="80692000"/>
        <n v="38846000"/>
        <n v="70212000"/>
        <n v="37357000"/>
        <n v="67798000"/>
        <n v="49702000"/>
        <n v="36801000"/>
        <n v="73167000"/>
        <n v="59410000"/>
        <n v="23980000"/>
        <n v="45721000"/>
        <n v="74493000"/>
        <n v="76459000"/>
        <n v="13320000"/>
        <n v="78714000"/>
        <n v="25009000"/>
        <n v="18351000"/>
        <n v="2819000"/>
        <n v="60559000"/>
        <n v="38781000"/>
        <n v="39117000"/>
        <n v="27301000"/>
        <n v="29495000"/>
        <n v="56328000"/>
        <n v="58108000"/>
        <n v="40500000"/>
        <n v="36250000"/>
        <n v="43385000"/>
        <n v="23619000"/>
        <n v="10117000"/>
        <n v="27475000"/>
        <n v="11746000"/>
        <n v="70980000"/>
        <n v="68632000"/>
        <n v="47821000"/>
        <n v="37514000"/>
        <n v="44816000"/>
        <n v="80444000"/>
        <n v="78781000"/>
        <n v="76226000"/>
        <n v="30412000"/>
        <n v="57555000"/>
        <n v="24389000"/>
        <n v="34840000"/>
        <n v="6891000"/>
        <n v="2096000"/>
        <n v="64266000"/>
        <n v="2905000"/>
        <n v="5552000"/>
        <n v="18693000"/>
        <n v="75827000"/>
        <n v="31272000"/>
        <n v="753000"/>
        <n v="726000"/>
        <n v="51323000"/>
        <n v="56811000"/>
        <n v="46313000"/>
        <n v="65130000"/>
        <n v="50573000"/>
        <n v="17674000"/>
        <n v="63948000"/>
        <n v="51944000"/>
        <n v="44987000"/>
        <n v="61468000"/>
        <n v="83697000"/>
        <n v="54127000"/>
        <n v="33867000"/>
        <n v="46939000"/>
        <n v="62682000"/>
        <n v="66595000"/>
        <n v="69271000"/>
        <n v="36570000"/>
        <n v="23547000"/>
        <n v="53559000"/>
        <n v="71587000"/>
        <n v="45127000"/>
        <n v="24195000"/>
        <n v="37826000"/>
        <n v="75382000"/>
        <n v="31739000"/>
        <n v="80211000"/>
        <n v="84112000"/>
        <n v="60886000"/>
        <n v="36502000"/>
        <n v="61164000"/>
        <n v="15012000"/>
        <n v="72484000"/>
        <n v="25524000"/>
        <n v="63679000"/>
        <n v="22726000"/>
        <n v="54273000"/>
        <n v="34506000"/>
        <n v="79719000"/>
        <n v="41690000"/>
        <n v="58586000"/>
        <n v="37039000"/>
        <n v="44237000"/>
        <n v="44072000"/>
        <n v="37047000"/>
        <n v="21232000"/>
        <n v="70591000"/>
        <n v="69176000"/>
        <n v="73489000"/>
        <n v="4215000"/>
        <n v="51865000"/>
        <n v="80717000"/>
        <n v="9409000"/>
        <n v="14106000"/>
        <n v="57269000"/>
        <n v="44363000"/>
        <n v="60941000"/>
        <n v="10578000"/>
        <n v="36572000"/>
        <n v="74472000"/>
        <n v="34559000"/>
        <n v="74417000"/>
        <n v="9476000"/>
        <n v="28600000"/>
        <n v="20342000"/>
        <n v="15822000"/>
        <n v="77407000"/>
        <n v="61794000"/>
        <n v="49954000"/>
        <n v="33003000"/>
        <n v="38199000"/>
        <n v="40652000"/>
        <n v="35648000"/>
        <n v="57739000"/>
        <n v="45972000"/>
        <n v="66859000"/>
        <n v="60321000"/>
        <n v="33309000"/>
        <n v="24564000"/>
        <n v="37378000"/>
        <n v="43815000"/>
        <n v="68394000"/>
        <n v="46494000"/>
        <n v="72305000"/>
        <n v="63582000"/>
        <n v="12256000"/>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6.672025231484" createdVersion="8" refreshedVersion="8" minRefreshableVersion="3" recordCount="321" xr:uid="{5B3C1B37-F66D-2B44-836E-892B15363B55}">
  <cacheSource type="worksheet">
    <worksheetSource ref="AS1:AT1048576" sheet="Dashboard"/>
  </cacheSource>
  <cacheFields count="2">
    <cacheField name="Deal Value (R)" numFmtId="0">
      <sharedItems containsString="0" containsBlank="1" containsNumber="1" containsInteger="1" minValue="726000" maxValue="84112000"/>
    </cacheField>
    <cacheField name="Channel" numFmtId="0">
      <sharedItems containsBlank="1" count="7">
        <s v="Direct BD"/>
        <s v="Events"/>
        <s v="Referral – Client"/>
        <s v="Referral – Broker"/>
        <s v="Digital Inbound"/>
        <s v="Partner Network"/>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27.699211921296" createdVersion="8" refreshedVersion="8" minRefreshableVersion="3" recordCount="321" xr:uid="{12F995B4-5971-BD4E-A9D2-4C13F8E3B636}">
  <cacheSource type="worksheet">
    <worksheetSource ref="AX1:AZ1048576" sheet="Dashboard"/>
  </cacheSource>
  <cacheFields count="3">
    <cacheField name="Deal Value (R)" numFmtId="0">
      <sharedItems containsString="0" containsBlank="1" containsNumber="1" containsInteger="1" minValue="726000" maxValue="84112000"/>
    </cacheField>
    <cacheField name="Channel" numFmtId="0">
      <sharedItems containsBlank="1" count="7">
        <s v="Direct BD"/>
        <s v="Events"/>
        <s v="Referral – Client"/>
        <s v="Referral – Broker"/>
        <s v="Digital Inbound"/>
        <s v="Partner Network"/>
        <m/>
      </sharedItems>
    </cacheField>
    <cacheField name="Region" numFmtId="0">
      <sharedItems containsBlank="1" count="6">
        <s v="KwaZulu-Natal"/>
        <s v="Gauteng"/>
        <s v="Western Cape"/>
        <s v="Free State"/>
        <s v="Eastern Cape"/>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32.355723611108" createdVersion="8" refreshedVersion="8" minRefreshableVersion="3" recordCount="7" xr:uid="{28A23649-DF20-7D49-B444-77A156095F45}">
  <cacheSource type="worksheet">
    <worksheetSource ref="B23:G30" sheet="Forecast Model"/>
  </cacheSource>
  <cacheFields count="6">
    <cacheField name="Stage" numFmtId="0">
      <sharedItems count="7">
        <s v="Prospect"/>
        <s v="Qualified"/>
        <s v="Proposal"/>
        <s v="Negotiation"/>
        <s v="Closed Won"/>
        <s v="Closed Lost"/>
        <s v="On Hold"/>
      </sharedItems>
    </cacheField>
    <cacheField name="Deal Count" numFmtId="0">
      <sharedItems containsSemiMixedTypes="0" containsString="0" containsNumber="1" containsInteger="1" minValue="8" maxValue="41"/>
    </cacheField>
    <cacheField name="Total Value (R)" numFmtId="165">
      <sharedItems containsSemiMixedTypes="0" containsString="0" containsNumber="1" containsInteger="1" minValue="372863000" maxValue="1739379000"/>
    </cacheField>
    <cacheField name="Weighted Value (R)" numFmtId="165">
      <sharedItems containsSemiMixedTypes="0" containsString="0" containsNumber="1" containsInteger="1" minValue="0" maxValue="929444000"/>
    </cacheField>
    <cacheField name="Avg Deal Size (R)" numFmtId="165">
      <sharedItems containsSemiMixedTypes="0" containsString="0" containsNumber="1" minValue="38879250" maxValue="50126454.545454547"/>
    </cacheField>
    <cacheField name="% of Pipeline" numFmtId="167">
      <sharedItems containsSemiMixedTypes="0" containsString="0" containsNumber="1" minValue="5.5226543127041949E-2" maxValue="0.25762784013906198"/>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ami" refreshedDate="46132.364814583336" createdVersion="8" refreshedVersion="8" minRefreshableVersion="3" recordCount="8" xr:uid="{FE6F15AD-35B1-3C46-9F8F-2E429B750E7F}">
  <cacheSource type="worksheet">
    <worksheetSource ref="B35:E43" sheet="Rep Performance"/>
  </cacheSource>
  <cacheFields count="4">
    <cacheField name="Sales Rep" numFmtId="0">
      <sharedItems count="8">
        <s v="Amahle Dlamini"/>
        <s v="Priya Naidoo"/>
        <s v="Kagiso Sithole"/>
        <s v="James Meyer"/>
        <s v="Ruan Ferreira"/>
        <s v="Stefan Botha"/>
        <s v="Nomvula Khumalo"/>
        <s v="Lerato Mokoena"/>
      </sharedItems>
    </cacheField>
    <cacheField name="Total Deals" numFmtId="0">
      <sharedItems containsSemiMixedTypes="0" containsString="0" containsNumber="1" containsInteger="1" minValue="14" maxValue="23"/>
    </cacheField>
    <cacheField name="Closed Won (R)" numFmtId="165">
      <sharedItems containsSemiMixedTypes="0" containsString="0" containsNumber="1" containsInteger="1" minValue="0" maxValue="258376000"/>
    </cacheField>
    <cacheField name="Conversion rate " numFmtId="0">
      <sharedItems containsSemiMixedTypes="0" containsString="0" containsNumber="1" minValue="0" maxValue="12250714.28571428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2"/>
    <n v="1177970000"/>
    <n v="532389000"/>
    <n v="53544090.909090906"/>
  </r>
  <r>
    <x v="1"/>
    <n v="22"/>
    <n v="1032632000"/>
    <n v="376358000"/>
    <n v="46937818.18181818"/>
  </r>
  <r>
    <x v="2"/>
    <n v="22"/>
    <n v="1020831000"/>
    <n v="268847000"/>
    <n v="46401409.090909094"/>
  </r>
  <r>
    <x v="3"/>
    <n v="16"/>
    <n v="831244000"/>
    <n v="495796000"/>
    <n v="51952750"/>
  </r>
  <r>
    <x v="4"/>
    <n v="17"/>
    <n v="704022000"/>
    <n v="213288000"/>
    <n v="41413058.823529407"/>
  </r>
  <r>
    <x v="5"/>
    <n v="14"/>
    <n v="668258000"/>
    <n v="210443000"/>
    <n v="47732714.285714284"/>
  </r>
  <r>
    <x v="6"/>
    <n v="19"/>
    <n v="665265000"/>
    <n v="172642000"/>
    <n v="35013947.368421063"/>
  </r>
  <r>
    <x v="7"/>
    <n v="18"/>
    <n v="651296000"/>
    <n v="184044000"/>
    <n v="36183111.1111111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r>
  <r>
    <x v="0"/>
    <x v="0"/>
  </r>
  <r>
    <x v="1"/>
    <x v="1"/>
  </r>
  <r>
    <x v="0"/>
    <x v="0"/>
  </r>
  <r>
    <x v="1"/>
    <x v="0"/>
  </r>
  <r>
    <x v="2"/>
    <x v="0"/>
  </r>
  <r>
    <x v="3"/>
    <x v="2"/>
  </r>
  <r>
    <x v="4"/>
    <x v="3"/>
  </r>
  <r>
    <x v="5"/>
    <x v="0"/>
  </r>
  <r>
    <x v="0"/>
    <x v="4"/>
  </r>
  <r>
    <x v="1"/>
    <x v="3"/>
  </r>
  <r>
    <x v="4"/>
    <x v="0"/>
  </r>
  <r>
    <x v="6"/>
    <x v="0"/>
  </r>
  <r>
    <x v="0"/>
    <x v="3"/>
  </r>
  <r>
    <x v="2"/>
    <x v="2"/>
  </r>
  <r>
    <x v="5"/>
    <x v="2"/>
  </r>
  <r>
    <x v="1"/>
    <x v="0"/>
  </r>
  <r>
    <x v="6"/>
    <x v="2"/>
  </r>
  <r>
    <x v="2"/>
    <x v="3"/>
  </r>
  <r>
    <x v="0"/>
    <x v="4"/>
  </r>
  <r>
    <x v="1"/>
    <x v="2"/>
  </r>
  <r>
    <x v="2"/>
    <x v="3"/>
  </r>
  <r>
    <x v="1"/>
    <x v="0"/>
  </r>
  <r>
    <x v="5"/>
    <x v="1"/>
  </r>
  <r>
    <x v="4"/>
    <x v="5"/>
  </r>
  <r>
    <x v="4"/>
    <x v="0"/>
  </r>
  <r>
    <x v="6"/>
    <x v="0"/>
  </r>
  <r>
    <x v="0"/>
    <x v="2"/>
  </r>
  <r>
    <x v="0"/>
    <x v="0"/>
  </r>
  <r>
    <x v="3"/>
    <x v="4"/>
  </r>
  <r>
    <x v="0"/>
    <x v="0"/>
  </r>
  <r>
    <x v="1"/>
    <x v="0"/>
  </r>
  <r>
    <x v="6"/>
    <x v="4"/>
  </r>
  <r>
    <x v="0"/>
    <x v="2"/>
  </r>
  <r>
    <x v="0"/>
    <x v="5"/>
  </r>
  <r>
    <x v="4"/>
    <x v="2"/>
  </r>
  <r>
    <x v="0"/>
    <x v="0"/>
  </r>
  <r>
    <x v="6"/>
    <x v="0"/>
  </r>
  <r>
    <x v="2"/>
    <x v="0"/>
  </r>
  <r>
    <x v="0"/>
    <x v="2"/>
  </r>
  <r>
    <x v="4"/>
    <x v="0"/>
  </r>
  <r>
    <x v="2"/>
    <x v="2"/>
  </r>
  <r>
    <x v="6"/>
    <x v="1"/>
  </r>
  <r>
    <x v="2"/>
    <x v="0"/>
  </r>
  <r>
    <x v="3"/>
    <x v="3"/>
  </r>
  <r>
    <x v="4"/>
    <x v="5"/>
  </r>
  <r>
    <x v="0"/>
    <x v="0"/>
  </r>
  <r>
    <x v="1"/>
    <x v="1"/>
  </r>
  <r>
    <x v="6"/>
    <x v="4"/>
  </r>
  <r>
    <x v="1"/>
    <x v="0"/>
  </r>
  <r>
    <x v="2"/>
    <x v="4"/>
  </r>
  <r>
    <x v="0"/>
    <x v="5"/>
  </r>
  <r>
    <x v="0"/>
    <x v="2"/>
  </r>
  <r>
    <x v="2"/>
    <x v="2"/>
  </r>
  <r>
    <x v="1"/>
    <x v="4"/>
  </r>
  <r>
    <x v="6"/>
    <x v="0"/>
  </r>
  <r>
    <x v="2"/>
    <x v="1"/>
  </r>
  <r>
    <x v="6"/>
    <x v="3"/>
  </r>
  <r>
    <x v="4"/>
    <x v="0"/>
  </r>
  <r>
    <x v="4"/>
    <x v="0"/>
  </r>
  <r>
    <x v="1"/>
    <x v="4"/>
  </r>
  <r>
    <x v="0"/>
    <x v="2"/>
  </r>
  <r>
    <x v="1"/>
    <x v="0"/>
  </r>
  <r>
    <x v="2"/>
    <x v="0"/>
  </r>
  <r>
    <x v="0"/>
    <x v="4"/>
  </r>
  <r>
    <x v="0"/>
    <x v="0"/>
  </r>
  <r>
    <x v="1"/>
    <x v="3"/>
  </r>
  <r>
    <x v="2"/>
    <x v="0"/>
  </r>
  <r>
    <x v="2"/>
    <x v="3"/>
  </r>
  <r>
    <x v="0"/>
    <x v="0"/>
  </r>
  <r>
    <x v="6"/>
    <x v="3"/>
  </r>
  <r>
    <x v="0"/>
    <x v="3"/>
  </r>
  <r>
    <x v="2"/>
    <x v="0"/>
  </r>
  <r>
    <x v="0"/>
    <x v="2"/>
  </r>
  <r>
    <x v="0"/>
    <x v="4"/>
  </r>
  <r>
    <x v="0"/>
    <x v="2"/>
  </r>
  <r>
    <x v="2"/>
    <x v="5"/>
  </r>
  <r>
    <x v="5"/>
    <x v="2"/>
  </r>
  <r>
    <x v="3"/>
    <x v="3"/>
  </r>
  <r>
    <x v="6"/>
    <x v="4"/>
  </r>
  <r>
    <x v="4"/>
    <x v="2"/>
  </r>
  <r>
    <x v="0"/>
    <x v="2"/>
  </r>
  <r>
    <x v="4"/>
    <x v="0"/>
  </r>
  <r>
    <x v="6"/>
    <x v="1"/>
  </r>
  <r>
    <x v="4"/>
    <x v="0"/>
  </r>
  <r>
    <x v="6"/>
    <x v="3"/>
  </r>
  <r>
    <x v="5"/>
    <x v="3"/>
  </r>
  <r>
    <x v="2"/>
    <x v="0"/>
  </r>
  <r>
    <x v="2"/>
    <x v="2"/>
  </r>
  <r>
    <x v="3"/>
    <x v="4"/>
  </r>
  <r>
    <x v="1"/>
    <x v="4"/>
  </r>
  <r>
    <x v="2"/>
    <x v="2"/>
  </r>
  <r>
    <x v="4"/>
    <x v="3"/>
  </r>
  <r>
    <x v="0"/>
    <x v="2"/>
  </r>
  <r>
    <x v="2"/>
    <x v="5"/>
  </r>
  <r>
    <x v="0"/>
    <x v="3"/>
  </r>
  <r>
    <x v="0"/>
    <x v="2"/>
  </r>
  <r>
    <x v="3"/>
    <x v="3"/>
  </r>
  <r>
    <x v="5"/>
    <x v="0"/>
  </r>
  <r>
    <x v="6"/>
    <x v="1"/>
  </r>
  <r>
    <x v="4"/>
    <x v="5"/>
  </r>
  <r>
    <x v="5"/>
    <x v="2"/>
  </r>
  <r>
    <x v="3"/>
    <x v="4"/>
  </r>
  <r>
    <x v="0"/>
    <x v="2"/>
  </r>
  <r>
    <x v="2"/>
    <x v="3"/>
  </r>
  <r>
    <x v="6"/>
    <x v="1"/>
  </r>
  <r>
    <x v="6"/>
    <x v="0"/>
  </r>
  <r>
    <x v="2"/>
    <x v="3"/>
  </r>
  <r>
    <x v="0"/>
    <x v="2"/>
  </r>
  <r>
    <x v="4"/>
    <x v="0"/>
  </r>
  <r>
    <x v="6"/>
    <x v="1"/>
  </r>
  <r>
    <x v="0"/>
    <x v="2"/>
  </r>
  <r>
    <x v="6"/>
    <x v="3"/>
  </r>
  <r>
    <x v="1"/>
    <x v="3"/>
  </r>
  <r>
    <x v="5"/>
    <x v="0"/>
  </r>
  <r>
    <x v="6"/>
    <x v="2"/>
  </r>
  <r>
    <x v="5"/>
    <x v="0"/>
  </r>
  <r>
    <x v="6"/>
    <x v="4"/>
  </r>
  <r>
    <x v="5"/>
    <x v="0"/>
  </r>
  <r>
    <x v="5"/>
    <x v="1"/>
  </r>
  <r>
    <x v="4"/>
    <x v="2"/>
  </r>
  <r>
    <x v="2"/>
    <x v="2"/>
  </r>
  <r>
    <x v="0"/>
    <x v="2"/>
  </r>
  <r>
    <x v="1"/>
    <x v="0"/>
  </r>
  <r>
    <x v="0"/>
    <x v="1"/>
  </r>
  <r>
    <x v="6"/>
    <x v="0"/>
  </r>
  <r>
    <x v="4"/>
    <x v="2"/>
  </r>
  <r>
    <x v="0"/>
    <x v="4"/>
  </r>
  <r>
    <x v="0"/>
    <x v="3"/>
  </r>
  <r>
    <x v="4"/>
    <x v="2"/>
  </r>
  <r>
    <x v="5"/>
    <x v="3"/>
  </r>
  <r>
    <x v="2"/>
    <x v="0"/>
  </r>
  <r>
    <x v="4"/>
    <x v="1"/>
  </r>
  <r>
    <x v="0"/>
    <x v="2"/>
  </r>
  <r>
    <x v="4"/>
    <x v="3"/>
  </r>
  <r>
    <x v="4"/>
    <x v="5"/>
  </r>
  <r>
    <x v="4"/>
    <x v="2"/>
  </r>
  <r>
    <x v="1"/>
    <x v="2"/>
  </r>
  <r>
    <x v="1"/>
    <x v="0"/>
  </r>
  <r>
    <x v="6"/>
    <x v="3"/>
  </r>
  <r>
    <x v="0"/>
    <x v="1"/>
  </r>
  <r>
    <x v="0"/>
    <x v="0"/>
  </r>
  <r>
    <x v="4"/>
    <x v="2"/>
  </r>
  <r>
    <x v="3"/>
    <x v="3"/>
  </r>
  <r>
    <x v="1"/>
    <x v="3"/>
  </r>
  <r>
    <x v="0"/>
    <x v="1"/>
  </r>
  <r>
    <x v="0"/>
    <x v="0"/>
  </r>
  <r>
    <x v="4"/>
    <x v="2"/>
  </r>
  <r>
    <x v="0"/>
    <x v="0"/>
  </r>
  <r>
    <x v="2"/>
    <x v="2"/>
  </r>
  <r>
    <x v="7"/>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x v="0"/>
    <x v="0"/>
  </r>
  <r>
    <x v="1"/>
    <x v="1"/>
  </r>
  <r>
    <x v="1"/>
    <x v="2"/>
  </r>
  <r>
    <x v="1"/>
    <x v="3"/>
  </r>
  <r>
    <x v="2"/>
    <x v="4"/>
  </r>
  <r>
    <x v="1"/>
    <x v="5"/>
  </r>
  <r>
    <x v="3"/>
    <x v="6"/>
  </r>
  <r>
    <x v="4"/>
    <x v="7"/>
  </r>
  <r>
    <x v="1"/>
    <x v="8"/>
  </r>
  <r>
    <x v="5"/>
    <x v="9"/>
  </r>
  <r>
    <x v="6"/>
    <x v="10"/>
  </r>
  <r>
    <x v="2"/>
    <x v="11"/>
  </r>
  <r>
    <x v="2"/>
    <x v="12"/>
  </r>
  <r>
    <x v="2"/>
    <x v="13"/>
  </r>
  <r>
    <x v="0"/>
    <x v="14"/>
  </r>
  <r>
    <x v="1"/>
    <x v="15"/>
  </r>
  <r>
    <x v="0"/>
    <x v="16"/>
  </r>
  <r>
    <x v="7"/>
    <x v="17"/>
  </r>
  <r>
    <x v="2"/>
    <x v="18"/>
  </r>
  <r>
    <x v="6"/>
    <x v="19"/>
  </r>
  <r>
    <x v="1"/>
    <x v="20"/>
  </r>
  <r>
    <x v="3"/>
    <x v="21"/>
  </r>
  <r>
    <x v="6"/>
    <x v="22"/>
  </r>
  <r>
    <x v="4"/>
    <x v="23"/>
  </r>
  <r>
    <x v="0"/>
    <x v="24"/>
  </r>
  <r>
    <x v="6"/>
    <x v="25"/>
  </r>
  <r>
    <x v="3"/>
    <x v="26"/>
  </r>
  <r>
    <x v="1"/>
    <x v="27"/>
  </r>
  <r>
    <x v="5"/>
    <x v="28"/>
  </r>
  <r>
    <x v="1"/>
    <x v="29"/>
  </r>
  <r>
    <x v="3"/>
    <x v="30"/>
  </r>
  <r>
    <x v="7"/>
    <x v="31"/>
  </r>
  <r>
    <x v="0"/>
    <x v="32"/>
  </r>
  <r>
    <x v="0"/>
    <x v="33"/>
  </r>
  <r>
    <x v="5"/>
    <x v="34"/>
  </r>
  <r>
    <x v="4"/>
    <x v="35"/>
  </r>
  <r>
    <x v="6"/>
    <x v="36"/>
  </r>
  <r>
    <x v="6"/>
    <x v="37"/>
  </r>
  <r>
    <x v="4"/>
    <x v="38"/>
  </r>
  <r>
    <x v="7"/>
    <x v="39"/>
  </r>
  <r>
    <x v="0"/>
    <x v="40"/>
  </r>
  <r>
    <x v="3"/>
    <x v="41"/>
  </r>
  <r>
    <x v="2"/>
    <x v="42"/>
  </r>
  <r>
    <x v="4"/>
    <x v="43"/>
  </r>
  <r>
    <x v="2"/>
    <x v="44"/>
  </r>
  <r>
    <x v="6"/>
    <x v="45"/>
  </r>
  <r>
    <x v="0"/>
    <x v="46"/>
  </r>
  <r>
    <x v="7"/>
    <x v="47"/>
  </r>
  <r>
    <x v="2"/>
    <x v="48"/>
  </r>
  <r>
    <x v="0"/>
    <x v="49"/>
  </r>
  <r>
    <x v="6"/>
    <x v="50"/>
  </r>
  <r>
    <x v="6"/>
    <x v="51"/>
  </r>
  <r>
    <x v="1"/>
    <x v="52"/>
  </r>
  <r>
    <x v="1"/>
    <x v="53"/>
  </r>
  <r>
    <x v="1"/>
    <x v="54"/>
  </r>
  <r>
    <x v="5"/>
    <x v="55"/>
  </r>
  <r>
    <x v="3"/>
    <x v="56"/>
  </r>
  <r>
    <x v="5"/>
    <x v="57"/>
  </r>
  <r>
    <x v="1"/>
    <x v="58"/>
  </r>
  <r>
    <x v="3"/>
    <x v="59"/>
  </r>
  <r>
    <x v="4"/>
    <x v="60"/>
  </r>
  <r>
    <x v="0"/>
    <x v="61"/>
  </r>
  <r>
    <x v="7"/>
    <x v="62"/>
  </r>
  <r>
    <x v="6"/>
    <x v="63"/>
  </r>
  <r>
    <x v="7"/>
    <x v="64"/>
  </r>
  <r>
    <x v="1"/>
    <x v="65"/>
  </r>
  <r>
    <x v="2"/>
    <x v="66"/>
  </r>
  <r>
    <x v="5"/>
    <x v="67"/>
  </r>
  <r>
    <x v="6"/>
    <x v="68"/>
  </r>
  <r>
    <x v="1"/>
    <x v="69"/>
  </r>
  <r>
    <x v="0"/>
    <x v="70"/>
  </r>
  <r>
    <x v="5"/>
    <x v="71"/>
  </r>
  <r>
    <x v="2"/>
    <x v="72"/>
  </r>
  <r>
    <x v="1"/>
    <x v="73"/>
  </r>
  <r>
    <x v="4"/>
    <x v="74"/>
  </r>
  <r>
    <x v="7"/>
    <x v="75"/>
  </r>
  <r>
    <x v="0"/>
    <x v="76"/>
  </r>
  <r>
    <x v="0"/>
    <x v="77"/>
  </r>
  <r>
    <x v="1"/>
    <x v="78"/>
  </r>
  <r>
    <x v="4"/>
    <x v="79"/>
  </r>
  <r>
    <x v="2"/>
    <x v="80"/>
  </r>
  <r>
    <x v="4"/>
    <x v="81"/>
  </r>
  <r>
    <x v="0"/>
    <x v="82"/>
  </r>
  <r>
    <x v="5"/>
    <x v="83"/>
  </r>
  <r>
    <x v="4"/>
    <x v="84"/>
  </r>
  <r>
    <x v="1"/>
    <x v="85"/>
  </r>
  <r>
    <x v="6"/>
    <x v="86"/>
  </r>
  <r>
    <x v="0"/>
    <x v="87"/>
  </r>
  <r>
    <x v="3"/>
    <x v="88"/>
  </r>
  <r>
    <x v="7"/>
    <x v="89"/>
  </r>
  <r>
    <x v="7"/>
    <x v="90"/>
  </r>
  <r>
    <x v="7"/>
    <x v="91"/>
  </r>
  <r>
    <x v="3"/>
    <x v="92"/>
  </r>
  <r>
    <x v="2"/>
    <x v="93"/>
  </r>
  <r>
    <x v="6"/>
    <x v="94"/>
  </r>
  <r>
    <x v="2"/>
    <x v="95"/>
  </r>
  <r>
    <x v="0"/>
    <x v="96"/>
  </r>
  <r>
    <x v="6"/>
    <x v="97"/>
  </r>
  <r>
    <x v="6"/>
    <x v="98"/>
  </r>
  <r>
    <x v="0"/>
    <x v="99"/>
  </r>
  <r>
    <x v="6"/>
    <x v="100"/>
  </r>
  <r>
    <x v="5"/>
    <x v="101"/>
  </r>
  <r>
    <x v="7"/>
    <x v="102"/>
  </r>
  <r>
    <x v="3"/>
    <x v="103"/>
  </r>
  <r>
    <x v="7"/>
    <x v="104"/>
  </r>
  <r>
    <x v="0"/>
    <x v="105"/>
  </r>
  <r>
    <x v="3"/>
    <x v="106"/>
  </r>
  <r>
    <x v="6"/>
    <x v="107"/>
  </r>
  <r>
    <x v="3"/>
    <x v="108"/>
  </r>
  <r>
    <x v="4"/>
    <x v="109"/>
  </r>
  <r>
    <x v="4"/>
    <x v="110"/>
  </r>
  <r>
    <x v="5"/>
    <x v="111"/>
  </r>
  <r>
    <x v="4"/>
    <x v="112"/>
  </r>
  <r>
    <x v="3"/>
    <x v="113"/>
  </r>
  <r>
    <x v="5"/>
    <x v="114"/>
  </r>
  <r>
    <x v="6"/>
    <x v="115"/>
  </r>
  <r>
    <x v="6"/>
    <x v="116"/>
  </r>
  <r>
    <x v="5"/>
    <x v="117"/>
  </r>
  <r>
    <x v="6"/>
    <x v="118"/>
  </r>
  <r>
    <x v="7"/>
    <x v="119"/>
  </r>
  <r>
    <x v="6"/>
    <x v="120"/>
  </r>
  <r>
    <x v="5"/>
    <x v="121"/>
  </r>
  <r>
    <x v="2"/>
    <x v="122"/>
  </r>
  <r>
    <x v="4"/>
    <x v="123"/>
  </r>
  <r>
    <x v="5"/>
    <x v="124"/>
  </r>
  <r>
    <x v="0"/>
    <x v="125"/>
  </r>
  <r>
    <x v="1"/>
    <x v="126"/>
  </r>
  <r>
    <x v="2"/>
    <x v="127"/>
  </r>
  <r>
    <x v="7"/>
    <x v="128"/>
  </r>
  <r>
    <x v="4"/>
    <x v="129"/>
  </r>
  <r>
    <x v="2"/>
    <x v="130"/>
  </r>
  <r>
    <x v="6"/>
    <x v="131"/>
  </r>
  <r>
    <x v="5"/>
    <x v="132"/>
  </r>
  <r>
    <x v="1"/>
    <x v="133"/>
  </r>
  <r>
    <x v="4"/>
    <x v="134"/>
  </r>
  <r>
    <x v="5"/>
    <x v="135"/>
  </r>
  <r>
    <x v="0"/>
    <x v="136"/>
  </r>
  <r>
    <x v="7"/>
    <x v="137"/>
  </r>
  <r>
    <x v="5"/>
    <x v="138"/>
  </r>
  <r>
    <x v="5"/>
    <x v="139"/>
  </r>
  <r>
    <x v="0"/>
    <x v="140"/>
  </r>
  <r>
    <x v="7"/>
    <x v="141"/>
  </r>
  <r>
    <x v="3"/>
    <x v="142"/>
  </r>
  <r>
    <x v="5"/>
    <x v="143"/>
  </r>
  <r>
    <x v="1"/>
    <x v="144"/>
  </r>
  <r>
    <x v="1"/>
    <x v="145"/>
  </r>
  <r>
    <x v="4"/>
    <x v="146"/>
  </r>
  <r>
    <x v="0"/>
    <x v="147"/>
  </r>
  <r>
    <x v="7"/>
    <x v="148"/>
  </r>
  <r>
    <x v="7"/>
    <x v="149"/>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r>
    <x v="8"/>
    <x v="15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x v="0"/>
    <x v="0"/>
  </r>
  <r>
    <x v="1"/>
    <x v="1"/>
  </r>
  <r>
    <x v="1"/>
    <x v="2"/>
  </r>
  <r>
    <x v="2"/>
    <x v="3"/>
  </r>
  <r>
    <x v="0"/>
    <x v="4"/>
  </r>
  <r>
    <x v="1"/>
    <x v="5"/>
  </r>
  <r>
    <x v="1"/>
    <x v="6"/>
  </r>
  <r>
    <x v="2"/>
    <x v="7"/>
  </r>
  <r>
    <x v="2"/>
    <x v="8"/>
  </r>
  <r>
    <x v="2"/>
    <x v="9"/>
  </r>
  <r>
    <x v="0"/>
    <x v="10"/>
  </r>
  <r>
    <x v="3"/>
    <x v="11"/>
  </r>
  <r>
    <x v="1"/>
    <x v="12"/>
  </r>
  <r>
    <x v="1"/>
    <x v="13"/>
  </r>
  <r>
    <x v="1"/>
    <x v="14"/>
  </r>
  <r>
    <x v="1"/>
    <x v="15"/>
  </r>
  <r>
    <x v="4"/>
    <x v="16"/>
  </r>
  <r>
    <x v="4"/>
    <x v="17"/>
  </r>
  <r>
    <x v="0"/>
    <x v="18"/>
  </r>
  <r>
    <x v="1"/>
    <x v="19"/>
  </r>
  <r>
    <x v="1"/>
    <x v="20"/>
  </r>
  <r>
    <x v="1"/>
    <x v="21"/>
  </r>
  <r>
    <x v="4"/>
    <x v="22"/>
  </r>
  <r>
    <x v="2"/>
    <x v="23"/>
  </r>
  <r>
    <x v="2"/>
    <x v="24"/>
  </r>
  <r>
    <x v="3"/>
    <x v="25"/>
  </r>
  <r>
    <x v="0"/>
    <x v="26"/>
  </r>
  <r>
    <x v="1"/>
    <x v="27"/>
  </r>
  <r>
    <x v="2"/>
    <x v="28"/>
  </r>
  <r>
    <x v="2"/>
    <x v="29"/>
  </r>
  <r>
    <x v="1"/>
    <x v="30"/>
  </r>
  <r>
    <x v="2"/>
    <x v="31"/>
  </r>
  <r>
    <x v="2"/>
    <x v="32"/>
  </r>
  <r>
    <x v="4"/>
    <x v="33"/>
  </r>
  <r>
    <x v="4"/>
    <x v="34"/>
  </r>
  <r>
    <x v="4"/>
    <x v="35"/>
  </r>
  <r>
    <x v="4"/>
    <x v="36"/>
  </r>
  <r>
    <x v="1"/>
    <x v="37"/>
  </r>
  <r>
    <x v="2"/>
    <x v="38"/>
  </r>
  <r>
    <x v="1"/>
    <x v="39"/>
  </r>
  <r>
    <x v="4"/>
    <x v="40"/>
  </r>
  <r>
    <x v="0"/>
    <x v="41"/>
  </r>
  <r>
    <x v="1"/>
    <x v="42"/>
  </r>
  <r>
    <x v="1"/>
    <x v="43"/>
  </r>
  <r>
    <x v="1"/>
    <x v="44"/>
  </r>
  <r>
    <x v="4"/>
    <x v="45"/>
  </r>
  <r>
    <x v="1"/>
    <x v="46"/>
  </r>
  <r>
    <x v="0"/>
    <x v="47"/>
  </r>
  <r>
    <x v="1"/>
    <x v="48"/>
  </r>
  <r>
    <x v="0"/>
    <x v="49"/>
  </r>
  <r>
    <x v="3"/>
    <x v="50"/>
  </r>
  <r>
    <x v="1"/>
    <x v="51"/>
  </r>
  <r>
    <x v="4"/>
    <x v="52"/>
  </r>
  <r>
    <x v="0"/>
    <x v="53"/>
  </r>
  <r>
    <x v="2"/>
    <x v="54"/>
  </r>
  <r>
    <x v="1"/>
    <x v="55"/>
  </r>
  <r>
    <x v="2"/>
    <x v="56"/>
  </r>
  <r>
    <x v="0"/>
    <x v="57"/>
  </r>
  <r>
    <x v="1"/>
    <x v="58"/>
  </r>
  <r>
    <x v="2"/>
    <x v="59"/>
  </r>
  <r>
    <x v="1"/>
    <x v="60"/>
  </r>
  <r>
    <x v="4"/>
    <x v="61"/>
  </r>
  <r>
    <x v="1"/>
    <x v="62"/>
  </r>
  <r>
    <x v="4"/>
    <x v="63"/>
  </r>
  <r>
    <x v="0"/>
    <x v="64"/>
  </r>
  <r>
    <x v="4"/>
    <x v="65"/>
  </r>
  <r>
    <x v="1"/>
    <x v="66"/>
  </r>
  <r>
    <x v="2"/>
    <x v="67"/>
  </r>
  <r>
    <x v="1"/>
    <x v="68"/>
  </r>
  <r>
    <x v="1"/>
    <x v="69"/>
  </r>
  <r>
    <x v="1"/>
    <x v="70"/>
  </r>
  <r>
    <x v="1"/>
    <x v="71"/>
  </r>
  <r>
    <x v="2"/>
    <x v="72"/>
  </r>
  <r>
    <x v="0"/>
    <x v="73"/>
  </r>
  <r>
    <x v="1"/>
    <x v="74"/>
  </r>
  <r>
    <x v="2"/>
    <x v="75"/>
  </r>
  <r>
    <x v="2"/>
    <x v="76"/>
  </r>
  <r>
    <x v="1"/>
    <x v="77"/>
  </r>
  <r>
    <x v="4"/>
    <x v="78"/>
  </r>
  <r>
    <x v="1"/>
    <x v="79"/>
  </r>
  <r>
    <x v="2"/>
    <x v="80"/>
  </r>
  <r>
    <x v="1"/>
    <x v="81"/>
  </r>
  <r>
    <x v="4"/>
    <x v="82"/>
  </r>
  <r>
    <x v="1"/>
    <x v="83"/>
  </r>
  <r>
    <x v="1"/>
    <x v="84"/>
  </r>
  <r>
    <x v="1"/>
    <x v="85"/>
  </r>
  <r>
    <x v="3"/>
    <x v="86"/>
  </r>
  <r>
    <x v="4"/>
    <x v="87"/>
  </r>
  <r>
    <x v="4"/>
    <x v="88"/>
  </r>
  <r>
    <x v="2"/>
    <x v="89"/>
  </r>
  <r>
    <x v="0"/>
    <x v="90"/>
  </r>
  <r>
    <x v="0"/>
    <x v="91"/>
  </r>
  <r>
    <x v="1"/>
    <x v="92"/>
  </r>
  <r>
    <x v="3"/>
    <x v="93"/>
  </r>
  <r>
    <x v="1"/>
    <x v="94"/>
  </r>
  <r>
    <x v="0"/>
    <x v="95"/>
  </r>
  <r>
    <x v="2"/>
    <x v="96"/>
  </r>
  <r>
    <x v="2"/>
    <x v="97"/>
  </r>
  <r>
    <x v="0"/>
    <x v="98"/>
  </r>
  <r>
    <x v="2"/>
    <x v="99"/>
  </r>
  <r>
    <x v="0"/>
    <x v="100"/>
  </r>
  <r>
    <x v="2"/>
    <x v="101"/>
  </r>
  <r>
    <x v="0"/>
    <x v="102"/>
  </r>
  <r>
    <x v="0"/>
    <x v="103"/>
  </r>
  <r>
    <x v="1"/>
    <x v="104"/>
  </r>
  <r>
    <x v="0"/>
    <x v="105"/>
  </r>
  <r>
    <x v="2"/>
    <x v="106"/>
  </r>
  <r>
    <x v="2"/>
    <x v="107"/>
  </r>
  <r>
    <x v="1"/>
    <x v="108"/>
  </r>
  <r>
    <x v="1"/>
    <x v="109"/>
  </r>
  <r>
    <x v="1"/>
    <x v="110"/>
  </r>
  <r>
    <x v="1"/>
    <x v="111"/>
  </r>
  <r>
    <x v="1"/>
    <x v="112"/>
  </r>
  <r>
    <x v="2"/>
    <x v="113"/>
  </r>
  <r>
    <x v="0"/>
    <x v="114"/>
  </r>
  <r>
    <x v="1"/>
    <x v="115"/>
  </r>
  <r>
    <x v="2"/>
    <x v="116"/>
  </r>
  <r>
    <x v="1"/>
    <x v="117"/>
  </r>
  <r>
    <x v="2"/>
    <x v="118"/>
  </r>
  <r>
    <x v="2"/>
    <x v="119"/>
  </r>
  <r>
    <x v="2"/>
    <x v="120"/>
  </r>
  <r>
    <x v="2"/>
    <x v="121"/>
  </r>
  <r>
    <x v="2"/>
    <x v="122"/>
  </r>
  <r>
    <x v="1"/>
    <x v="123"/>
  </r>
  <r>
    <x v="1"/>
    <x v="124"/>
  </r>
  <r>
    <x v="2"/>
    <x v="125"/>
  </r>
  <r>
    <x v="1"/>
    <x v="126"/>
  </r>
  <r>
    <x v="1"/>
    <x v="127"/>
  </r>
  <r>
    <x v="0"/>
    <x v="128"/>
  </r>
  <r>
    <x v="1"/>
    <x v="129"/>
  </r>
  <r>
    <x v="2"/>
    <x v="130"/>
  </r>
  <r>
    <x v="1"/>
    <x v="131"/>
  </r>
  <r>
    <x v="3"/>
    <x v="132"/>
  </r>
  <r>
    <x v="3"/>
    <x v="133"/>
  </r>
  <r>
    <x v="1"/>
    <x v="134"/>
  </r>
  <r>
    <x v="4"/>
    <x v="135"/>
  </r>
  <r>
    <x v="0"/>
    <x v="136"/>
  </r>
  <r>
    <x v="1"/>
    <x v="137"/>
  </r>
  <r>
    <x v="2"/>
    <x v="138"/>
  </r>
  <r>
    <x v="1"/>
    <x v="139"/>
  </r>
  <r>
    <x v="1"/>
    <x v="140"/>
  </r>
  <r>
    <x v="2"/>
    <x v="141"/>
  </r>
  <r>
    <x v="4"/>
    <x v="142"/>
  </r>
  <r>
    <x v="1"/>
    <x v="143"/>
  </r>
  <r>
    <x v="2"/>
    <x v="144"/>
  </r>
  <r>
    <x v="4"/>
    <x v="145"/>
  </r>
  <r>
    <x v="4"/>
    <x v="146"/>
  </r>
  <r>
    <x v="0"/>
    <x v="147"/>
  </r>
  <r>
    <x v="1"/>
    <x v="148"/>
  </r>
  <r>
    <x v="2"/>
    <x v="149"/>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r>
    <x v="5"/>
    <x v="15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47642000"/>
    <x v="0"/>
  </r>
  <r>
    <n v="22500000"/>
    <x v="0"/>
  </r>
  <r>
    <n v="8521000"/>
    <x v="1"/>
  </r>
  <r>
    <n v="12190000"/>
    <x v="0"/>
  </r>
  <r>
    <n v="55807000"/>
    <x v="0"/>
  </r>
  <r>
    <n v="56824000"/>
    <x v="0"/>
  </r>
  <r>
    <n v="49219000"/>
    <x v="2"/>
  </r>
  <r>
    <n v="12442000"/>
    <x v="3"/>
  </r>
  <r>
    <n v="55421000"/>
    <x v="0"/>
  </r>
  <r>
    <n v="81723000"/>
    <x v="3"/>
  </r>
  <r>
    <n v="80692000"/>
    <x v="0"/>
  </r>
  <r>
    <n v="38846000"/>
    <x v="0"/>
  </r>
  <r>
    <n v="70212000"/>
    <x v="0"/>
  </r>
  <r>
    <n v="37357000"/>
    <x v="3"/>
  </r>
  <r>
    <n v="67798000"/>
    <x v="2"/>
  </r>
  <r>
    <n v="49702000"/>
    <x v="2"/>
  </r>
  <r>
    <n v="36801000"/>
    <x v="0"/>
  </r>
  <r>
    <n v="73167000"/>
    <x v="2"/>
  </r>
  <r>
    <n v="59410000"/>
    <x v="3"/>
  </r>
  <r>
    <n v="23980000"/>
    <x v="4"/>
  </r>
  <r>
    <n v="45721000"/>
    <x v="2"/>
  </r>
  <r>
    <n v="74493000"/>
    <x v="0"/>
  </r>
  <r>
    <n v="76459000"/>
    <x v="0"/>
  </r>
  <r>
    <n v="13320000"/>
    <x v="1"/>
  </r>
  <r>
    <n v="78714000"/>
    <x v="5"/>
  </r>
  <r>
    <n v="25009000"/>
    <x v="0"/>
  </r>
  <r>
    <n v="18351000"/>
    <x v="0"/>
  </r>
  <r>
    <n v="2819000"/>
    <x v="2"/>
  </r>
  <r>
    <n v="60559000"/>
    <x v="0"/>
  </r>
  <r>
    <n v="38781000"/>
    <x v="4"/>
  </r>
  <r>
    <n v="39117000"/>
    <x v="0"/>
  </r>
  <r>
    <n v="27301000"/>
    <x v="0"/>
  </r>
  <r>
    <n v="29495000"/>
    <x v="4"/>
  </r>
  <r>
    <n v="56328000"/>
    <x v="2"/>
  </r>
  <r>
    <n v="58108000"/>
    <x v="5"/>
  </r>
  <r>
    <n v="40500000"/>
    <x v="2"/>
  </r>
  <r>
    <n v="36250000"/>
    <x v="0"/>
  </r>
  <r>
    <n v="43385000"/>
    <x v="0"/>
  </r>
  <r>
    <n v="23619000"/>
    <x v="0"/>
  </r>
  <r>
    <n v="10117000"/>
    <x v="2"/>
  </r>
  <r>
    <n v="27475000"/>
    <x v="0"/>
  </r>
  <r>
    <n v="11746000"/>
    <x v="2"/>
  </r>
  <r>
    <n v="70980000"/>
    <x v="1"/>
  </r>
  <r>
    <n v="68632000"/>
    <x v="3"/>
  </r>
  <r>
    <n v="47821000"/>
    <x v="3"/>
  </r>
  <r>
    <n v="37514000"/>
    <x v="5"/>
  </r>
  <r>
    <n v="44816000"/>
    <x v="0"/>
  </r>
  <r>
    <n v="80444000"/>
    <x v="1"/>
  </r>
  <r>
    <n v="78781000"/>
    <x v="4"/>
  </r>
  <r>
    <n v="76226000"/>
    <x v="0"/>
  </r>
  <r>
    <n v="30412000"/>
    <x v="4"/>
  </r>
  <r>
    <n v="57555000"/>
    <x v="5"/>
  </r>
  <r>
    <n v="24389000"/>
    <x v="2"/>
  </r>
  <r>
    <n v="34840000"/>
    <x v="2"/>
  </r>
  <r>
    <n v="6891000"/>
    <x v="4"/>
  </r>
  <r>
    <n v="2096000"/>
    <x v="0"/>
  </r>
  <r>
    <n v="64266000"/>
    <x v="1"/>
  </r>
  <r>
    <n v="2905000"/>
    <x v="3"/>
  </r>
  <r>
    <n v="5552000"/>
    <x v="0"/>
  </r>
  <r>
    <n v="18693000"/>
    <x v="0"/>
  </r>
  <r>
    <n v="75827000"/>
    <x v="4"/>
  </r>
  <r>
    <n v="31272000"/>
    <x v="2"/>
  </r>
  <r>
    <n v="753000"/>
    <x v="0"/>
  </r>
  <r>
    <n v="726000"/>
    <x v="0"/>
  </r>
  <r>
    <n v="51323000"/>
    <x v="4"/>
  </r>
  <r>
    <n v="56811000"/>
    <x v="0"/>
  </r>
  <r>
    <n v="46313000"/>
    <x v="3"/>
  </r>
  <r>
    <n v="65130000"/>
    <x v="0"/>
  </r>
  <r>
    <n v="50573000"/>
    <x v="3"/>
  </r>
  <r>
    <n v="17674000"/>
    <x v="0"/>
  </r>
  <r>
    <n v="63948000"/>
    <x v="3"/>
  </r>
  <r>
    <n v="51944000"/>
    <x v="3"/>
  </r>
  <r>
    <n v="44987000"/>
    <x v="0"/>
  </r>
  <r>
    <n v="61468000"/>
    <x v="2"/>
  </r>
  <r>
    <n v="83697000"/>
    <x v="4"/>
  </r>
  <r>
    <n v="54127000"/>
    <x v="2"/>
  </r>
  <r>
    <n v="33867000"/>
    <x v="5"/>
  </r>
  <r>
    <n v="46939000"/>
    <x v="2"/>
  </r>
  <r>
    <n v="62682000"/>
    <x v="3"/>
  </r>
  <r>
    <n v="66595000"/>
    <x v="4"/>
  </r>
  <r>
    <n v="69271000"/>
    <x v="2"/>
  </r>
  <r>
    <n v="36570000"/>
    <x v="2"/>
  </r>
  <r>
    <n v="23547000"/>
    <x v="0"/>
  </r>
  <r>
    <n v="53559000"/>
    <x v="1"/>
  </r>
  <r>
    <n v="71587000"/>
    <x v="0"/>
  </r>
  <r>
    <n v="45127000"/>
    <x v="3"/>
  </r>
  <r>
    <n v="24195000"/>
    <x v="3"/>
  </r>
  <r>
    <n v="37826000"/>
    <x v="0"/>
  </r>
  <r>
    <n v="75382000"/>
    <x v="2"/>
  </r>
  <r>
    <n v="31739000"/>
    <x v="4"/>
  </r>
  <r>
    <n v="80211000"/>
    <x v="4"/>
  </r>
  <r>
    <n v="84112000"/>
    <x v="2"/>
  </r>
  <r>
    <n v="60886000"/>
    <x v="3"/>
  </r>
  <r>
    <n v="36502000"/>
    <x v="2"/>
  </r>
  <r>
    <n v="61164000"/>
    <x v="5"/>
  </r>
  <r>
    <n v="15012000"/>
    <x v="3"/>
  </r>
  <r>
    <n v="72484000"/>
    <x v="2"/>
  </r>
  <r>
    <n v="25524000"/>
    <x v="3"/>
  </r>
  <r>
    <n v="63679000"/>
    <x v="0"/>
  </r>
  <r>
    <n v="22726000"/>
    <x v="1"/>
  </r>
  <r>
    <n v="54273000"/>
    <x v="5"/>
  </r>
  <r>
    <n v="34506000"/>
    <x v="2"/>
  </r>
  <r>
    <n v="79719000"/>
    <x v="4"/>
  </r>
  <r>
    <n v="41690000"/>
    <x v="2"/>
  </r>
  <r>
    <n v="58586000"/>
    <x v="3"/>
  </r>
  <r>
    <n v="37039000"/>
    <x v="1"/>
  </r>
  <r>
    <n v="44237000"/>
    <x v="0"/>
  </r>
  <r>
    <n v="44072000"/>
    <x v="3"/>
  </r>
  <r>
    <n v="37047000"/>
    <x v="2"/>
  </r>
  <r>
    <n v="21232000"/>
    <x v="0"/>
  </r>
  <r>
    <n v="70591000"/>
    <x v="1"/>
  </r>
  <r>
    <n v="69176000"/>
    <x v="2"/>
  </r>
  <r>
    <n v="73489000"/>
    <x v="3"/>
  </r>
  <r>
    <n v="4215000"/>
    <x v="3"/>
  </r>
  <r>
    <n v="51865000"/>
    <x v="0"/>
  </r>
  <r>
    <n v="80717000"/>
    <x v="2"/>
  </r>
  <r>
    <n v="9409000"/>
    <x v="0"/>
  </r>
  <r>
    <n v="14106000"/>
    <x v="4"/>
  </r>
  <r>
    <n v="57269000"/>
    <x v="0"/>
  </r>
  <r>
    <n v="44363000"/>
    <x v="1"/>
  </r>
  <r>
    <n v="60941000"/>
    <x v="2"/>
  </r>
  <r>
    <n v="10578000"/>
    <x v="2"/>
  </r>
  <r>
    <n v="36572000"/>
    <x v="2"/>
  </r>
  <r>
    <n v="74472000"/>
    <x v="0"/>
  </r>
  <r>
    <n v="34559000"/>
    <x v="1"/>
  </r>
  <r>
    <n v="74417000"/>
    <x v="0"/>
  </r>
  <r>
    <n v="9476000"/>
    <x v="2"/>
  </r>
  <r>
    <n v="28600000"/>
    <x v="4"/>
  </r>
  <r>
    <n v="20342000"/>
    <x v="3"/>
  </r>
  <r>
    <n v="15822000"/>
    <x v="2"/>
  </r>
  <r>
    <n v="77407000"/>
    <x v="3"/>
  </r>
  <r>
    <n v="61794000"/>
    <x v="0"/>
  </r>
  <r>
    <n v="49954000"/>
    <x v="1"/>
  </r>
  <r>
    <n v="33003000"/>
    <x v="2"/>
  </r>
  <r>
    <n v="38199000"/>
    <x v="3"/>
  </r>
  <r>
    <n v="40652000"/>
    <x v="5"/>
  </r>
  <r>
    <n v="35648000"/>
    <x v="2"/>
  </r>
  <r>
    <n v="57739000"/>
    <x v="2"/>
  </r>
  <r>
    <n v="45972000"/>
    <x v="0"/>
  </r>
  <r>
    <n v="66859000"/>
    <x v="3"/>
  </r>
  <r>
    <n v="60321000"/>
    <x v="1"/>
  </r>
  <r>
    <n v="33309000"/>
    <x v="0"/>
  </r>
  <r>
    <n v="24564000"/>
    <x v="2"/>
  </r>
  <r>
    <n v="37378000"/>
    <x v="3"/>
  </r>
  <r>
    <n v="43815000"/>
    <x v="3"/>
  </r>
  <r>
    <n v="68394000"/>
    <x v="1"/>
  </r>
  <r>
    <n v="46494000"/>
    <x v="0"/>
  </r>
  <r>
    <n v="72305000"/>
    <x v="2"/>
  </r>
  <r>
    <n v="63582000"/>
    <x v="4"/>
  </r>
  <r>
    <n v="12256000"/>
    <x v="2"/>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r>
    <m/>
    <x v="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n v="47642000"/>
    <x v="0"/>
    <x v="0"/>
  </r>
  <r>
    <n v="22500000"/>
    <x v="0"/>
    <x v="1"/>
  </r>
  <r>
    <n v="8521000"/>
    <x v="1"/>
    <x v="1"/>
  </r>
  <r>
    <n v="12190000"/>
    <x v="0"/>
    <x v="2"/>
  </r>
  <r>
    <n v="55807000"/>
    <x v="0"/>
    <x v="0"/>
  </r>
  <r>
    <n v="56824000"/>
    <x v="0"/>
    <x v="1"/>
  </r>
  <r>
    <n v="49219000"/>
    <x v="2"/>
    <x v="1"/>
  </r>
  <r>
    <n v="12442000"/>
    <x v="3"/>
    <x v="2"/>
  </r>
  <r>
    <n v="55421000"/>
    <x v="0"/>
    <x v="2"/>
  </r>
  <r>
    <n v="81723000"/>
    <x v="3"/>
    <x v="2"/>
  </r>
  <r>
    <n v="80692000"/>
    <x v="0"/>
    <x v="0"/>
  </r>
  <r>
    <n v="38846000"/>
    <x v="0"/>
    <x v="3"/>
  </r>
  <r>
    <n v="70212000"/>
    <x v="0"/>
    <x v="1"/>
  </r>
  <r>
    <n v="37357000"/>
    <x v="3"/>
    <x v="1"/>
  </r>
  <r>
    <n v="67798000"/>
    <x v="2"/>
    <x v="1"/>
  </r>
  <r>
    <n v="49702000"/>
    <x v="2"/>
    <x v="1"/>
  </r>
  <r>
    <n v="36801000"/>
    <x v="0"/>
    <x v="4"/>
  </r>
  <r>
    <n v="73167000"/>
    <x v="2"/>
    <x v="4"/>
  </r>
  <r>
    <n v="59410000"/>
    <x v="3"/>
    <x v="0"/>
  </r>
  <r>
    <n v="23980000"/>
    <x v="4"/>
    <x v="1"/>
  </r>
  <r>
    <n v="45721000"/>
    <x v="2"/>
    <x v="1"/>
  </r>
  <r>
    <n v="74493000"/>
    <x v="0"/>
    <x v="1"/>
  </r>
  <r>
    <n v="76459000"/>
    <x v="0"/>
    <x v="4"/>
  </r>
  <r>
    <n v="13320000"/>
    <x v="1"/>
    <x v="2"/>
  </r>
  <r>
    <n v="78714000"/>
    <x v="5"/>
    <x v="2"/>
  </r>
  <r>
    <n v="25009000"/>
    <x v="0"/>
    <x v="3"/>
  </r>
  <r>
    <n v="18351000"/>
    <x v="0"/>
    <x v="0"/>
  </r>
  <r>
    <n v="2819000"/>
    <x v="2"/>
    <x v="1"/>
  </r>
  <r>
    <n v="60559000"/>
    <x v="0"/>
    <x v="2"/>
  </r>
  <r>
    <n v="38781000"/>
    <x v="4"/>
    <x v="2"/>
  </r>
  <r>
    <n v="39117000"/>
    <x v="0"/>
    <x v="1"/>
  </r>
  <r>
    <n v="27301000"/>
    <x v="0"/>
    <x v="2"/>
  </r>
  <r>
    <n v="29495000"/>
    <x v="4"/>
    <x v="2"/>
  </r>
  <r>
    <n v="56328000"/>
    <x v="2"/>
    <x v="4"/>
  </r>
  <r>
    <n v="58108000"/>
    <x v="5"/>
    <x v="4"/>
  </r>
  <r>
    <n v="40500000"/>
    <x v="2"/>
    <x v="4"/>
  </r>
  <r>
    <n v="36250000"/>
    <x v="0"/>
    <x v="4"/>
  </r>
  <r>
    <n v="43385000"/>
    <x v="0"/>
    <x v="1"/>
  </r>
  <r>
    <n v="23619000"/>
    <x v="0"/>
    <x v="2"/>
  </r>
  <r>
    <n v="10117000"/>
    <x v="2"/>
    <x v="1"/>
  </r>
  <r>
    <n v="27475000"/>
    <x v="0"/>
    <x v="4"/>
  </r>
  <r>
    <n v="11746000"/>
    <x v="2"/>
    <x v="0"/>
  </r>
  <r>
    <n v="70980000"/>
    <x v="1"/>
    <x v="1"/>
  </r>
  <r>
    <n v="68632000"/>
    <x v="3"/>
    <x v="1"/>
  </r>
  <r>
    <n v="47821000"/>
    <x v="3"/>
    <x v="1"/>
  </r>
  <r>
    <n v="37514000"/>
    <x v="5"/>
    <x v="4"/>
  </r>
  <r>
    <n v="44816000"/>
    <x v="0"/>
    <x v="1"/>
  </r>
  <r>
    <n v="80444000"/>
    <x v="1"/>
    <x v="0"/>
  </r>
  <r>
    <n v="78781000"/>
    <x v="4"/>
    <x v="1"/>
  </r>
  <r>
    <n v="76226000"/>
    <x v="0"/>
    <x v="0"/>
  </r>
  <r>
    <n v="30412000"/>
    <x v="4"/>
    <x v="3"/>
  </r>
  <r>
    <n v="57555000"/>
    <x v="5"/>
    <x v="1"/>
  </r>
  <r>
    <n v="24389000"/>
    <x v="2"/>
    <x v="4"/>
  </r>
  <r>
    <n v="34840000"/>
    <x v="2"/>
    <x v="0"/>
  </r>
  <r>
    <n v="6891000"/>
    <x v="4"/>
    <x v="2"/>
  </r>
  <r>
    <n v="2096000"/>
    <x v="0"/>
    <x v="1"/>
  </r>
  <r>
    <n v="64266000"/>
    <x v="1"/>
    <x v="2"/>
  </r>
  <r>
    <n v="2905000"/>
    <x v="3"/>
    <x v="0"/>
  </r>
  <r>
    <n v="5552000"/>
    <x v="0"/>
    <x v="1"/>
  </r>
  <r>
    <n v="18693000"/>
    <x v="0"/>
    <x v="2"/>
  </r>
  <r>
    <n v="75827000"/>
    <x v="4"/>
    <x v="1"/>
  </r>
  <r>
    <n v="31272000"/>
    <x v="2"/>
    <x v="4"/>
  </r>
  <r>
    <n v="753000"/>
    <x v="0"/>
    <x v="1"/>
  </r>
  <r>
    <n v="726000"/>
    <x v="0"/>
    <x v="4"/>
  </r>
  <r>
    <n v="51323000"/>
    <x v="4"/>
    <x v="0"/>
  </r>
  <r>
    <n v="56811000"/>
    <x v="0"/>
    <x v="4"/>
  </r>
  <r>
    <n v="46313000"/>
    <x v="3"/>
    <x v="1"/>
  </r>
  <r>
    <n v="65130000"/>
    <x v="0"/>
    <x v="2"/>
  </r>
  <r>
    <n v="50573000"/>
    <x v="3"/>
    <x v="1"/>
  </r>
  <r>
    <n v="17674000"/>
    <x v="0"/>
    <x v="1"/>
  </r>
  <r>
    <n v="63948000"/>
    <x v="3"/>
    <x v="1"/>
  </r>
  <r>
    <n v="51944000"/>
    <x v="3"/>
    <x v="1"/>
  </r>
  <r>
    <n v="44987000"/>
    <x v="0"/>
    <x v="2"/>
  </r>
  <r>
    <n v="61468000"/>
    <x v="2"/>
    <x v="0"/>
  </r>
  <r>
    <n v="83697000"/>
    <x v="4"/>
    <x v="1"/>
  </r>
  <r>
    <n v="54127000"/>
    <x v="2"/>
    <x v="2"/>
  </r>
  <r>
    <n v="33867000"/>
    <x v="5"/>
    <x v="2"/>
  </r>
  <r>
    <n v="46939000"/>
    <x v="2"/>
    <x v="1"/>
  </r>
  <r>
    <n v="62682000"/>
    <x v="3"/>
    <x v="4"/>
  </r>
  <r>
    <n v="66595000"/>
    <x v="4"/>
    <x v="1"/>
  </r>
  <r>
    <n v="69271000"/>
    <x v="2"/>
    <x v="2"/>
  </r>
  <r>
    <n v="36570000"/>
    <x v="2"/>
    <x v="1"/>
  </r>
  <r>
    <n v="23547000"/>
    <x v="0"/>
    <x v="4"/>
  </r>
  <r>
    <n v="53559000"/>
    <x v="1"/>
    <x v="1"/>
  </r>
  <r>
    <n v="71587000"/>
    <x v="0"/>
    <x v="1"/>
  </r>
  <r>
    <n v="45127000"/>
    <x v="3"/>
    <x v="1"/>
  </r>
  <r>
    <n v="24195000"/>
    <x v="3"/>
    <x v="3"/>
  </r>
  <r>
    <n v="37826000"/>
    <x v="0"/>
    <x v="4"/>
  </r>
  <r>
    <n v="75382000"/>
    <x v="2"/>
    <x v="4"/>
  </r>
  <r>
    <n v="31739000"/>
    <x v="4"/>
    <x v="2"/>
  </r>
  <r>
    <n v="80211000"/>
    <x v="4"/>
    <x v="0"/>
  </r>
  <r>
    <n v="84112000"/>
    <x v="2"/>
    <x v="0"/>
  </r>
  <r>
    <n v="60886000"/>
    <x v="3"/>
    <x v="1"/>
  </r>
  <r>
    <n v="36502000"/>
    <x v="2"/>
    <x v="3"/>
  </r>
  <r>
    <n v="61164000"/>
    <x v="5"/>
    <x v="1"/>
  </r>
  <r>
    <n v="15012000"/>
    <x v="3"/>
    <x v="0"/>
  </r>
  <r>
    <n v="72484000"/>
    <x v="2"/>
    <x v="2"/>
  </r>
  <r>
    <n v="25524000"/>
    <x v="3"/>
    <x v="2"/>
  </r>
  <r>
    <n v="63679000"/>
    <x v="0"/>
    <x v="0"/>
  </r>
  <r>
    <n v="22726000"/>
    <x v="1"/>
    <x v="2"/>
  </r>
  <r>
    <n v="54273000"/>
    <x v="5"/>
    <x v="0"/>
  </r>
  <r>
    <n v="34506000"/>
    <x v="2"/>
    <x v="2"/>
  </r>
  <r>
    <n v="79719000"/>
    <x v="4"/>
    <x v="0"/>
  </r>
  <r>
    <n v="41690000"/>
    <x v="2"/>
    <x v="0"/>
  </r>
  <r>
    <n v="58586000"/>
    <x v="3"/>
    <x v="1"/>
  </r>
  <r>
    <n v="37039000"/>
    <x v="1"/>
    <x v="0"/>
  </r>
  <r>
    <n v="44237000"/>
    <x v="0"/>
    <x v="2"/>
  </r>
  <r>
    <n v="44072000"/>
    <x v="3"/>
    <x v="2"/>
  </r>
  <r>
    <n v="37047000"/>
    <x v="2"/>
    <x v="1"/>
  </r>
  <r>
    <n v="21232000"/>
    <x v="0"/>
    <x v="1"/>
  </r>
  <r>
    <n v="70591000"/>
    <x v="1"/>
    <x v="1"/>
  </r>
  <r>
    <n v="69176000"/>
    <x v="2"/>
    <x v="1"/>
  </r>
  <r>
    <n v="73489000"/>
    <x v="3"/>
    <x v="1"/>
  </r>
  <r>
    <n v="4215000"/>
    <x v="3"/>
    <x v="2"/>
  </r>
  <r>
    <n v="51865000"/>
    <x v="0"/>
    <x v="0"/>
  </r>
  <r>
    <n v="80717000"/>
    <x v="2"/>
    <x v="1"/>
  </r>
  <r>
    <n v="9409000"/>
    <x v="0"/>
    <x v="2"/>
  </r>
  <r>
    <n v="14106000"/>
    <x v="4"/>
    <x v="1"/>
  </r>
  <r>
    <n v="57269000"/>
    <x v="0"/>
    <x v="2"/>
  </r>
  <r>
    <n v="44363000"/>
    <x v="1"/>
    <x v="2"/>
  </r>
  <r>
    <n v="60941000"/>
    <x v="2"/>
    <x v="2"/>
  </r>
  <r>
    <n v="10578000"/>
    <x v="2"/>
    <x v="2"/>
  </r>
  <r>
    <n v="36572000"/>
    <x v="2"/>
    <x v="2"/>
  </r>
  <r>
    <n v="74472000"/>
    <x v="0"/>
    <x v="1"/>
  </r>
  <r>
    <n v="34559000"/>
    <x v="1"/>
    <x v="1"/>
  </r>
  <r>
    <n v="74417000"/>
    <x v="0"/>
    <x v="2"/>
  </r>
  <r>
    <n v="9476000"/>
    <x v="2"/>
    <x v="1"/>
  </r>
  <r>
    <n v="28600000"/>
    <x v="4"/>
    <x v="1"/>
  </r>
  <r>
    <n v="20342000"/>
    <x v="3"/>
    <x v="0"/>
  </r>
  <r>
    <n v="15822000"/>
    <x v="2"/>
    <x v="1"/>
  </r>
  <r>
    <n v="77407000"/>
    <x v="3"/>
    <x v="2"/>
  </r>
  <r>
    <n v="61794000"/>
    <x v="0"/>
    <x v="1"/>
  </r>
  <r>
    <n v="49954000"/>
    <x v="1"/>
    <x v="3"/>
  </r>
  <r>
    <n v="33003000"/>
    <x v="2"/>
    <x v="3"/>
  </r>
  <r>
    <n v="38199000"/>
    <x v="3"/>
    <x v="1"/>
  </r>
  <r>
    <n v="40652000"/>
    <x v="5"/>
    <x v="4"/>
  </r>
  <r>
    <n v="35648000"/>
    <x v="2"/>
    <x v="0"/>
  </r>
  <r>
    <n v="57739000"/>
    <x v="2"/>
    <x v="1"/>
  </r>
  <r>
    <n v="45972000"/>
    <x v="0"/>
    <x v="2"/>
  </r>
  <r>
    <n v="66859000"/>
    <x v="3"/>
    <x v="1"/>
  </r>
  <r>
    <n v="60321000"/>
    <x v="1"/>
    <x v="1"/>
  </r>
  <r>
    <n v="33309000"/>
    <x v="0"/>
    <x v="2"/>
  </r>
  <r>
    <n v="24564000"/>
    <x v="2"/>
    <x v="4"/>
  </r>
  <r>
    <n v="37378000"/>
    <x v="3"/>
    <x v="1"/>
  </r>
  <r>
    <n v="43815000"/>
    <x v="3"/>
    <x v="2"/>
  </r>
  <r>
    <n v="68394000"/>
    <x v="1"/>
    <x v="4"/>
  </r>
  <r>
    <n v="46494000"/>
    <x v="0"/>
    <x v="4"/>
  </r>
  <r>
    <n v="72305000"/>
    <x v="2"/>
    <x v="0"/>
  </r>
  <r>
    <n v="63582000"/>
    <x v="4"/>
    <x v="1"/>
  </r>
  <r>
    <n v="12256000"/>
    <x v="2"/>
    <x v="2"/>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r>
    <m/>
    <x v="6"/>
    <x v="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4"/>
    <n v="933102000"/>
    <n v="46656000"/>
    <n v="38879250"/>
    <n v="0.13820625228281999"/>
  </r>
  <r>
    <x v="1"/>
    <n v="24"/>
    <n v="1133093000"/>
    <n v="169967000"/>
    <n v="47212208.333333343"/>
    <n v="0.16782788700259699"/>
  </r>
  <r>
    <x v="2"/>
    <n v="41"/>
    <n v="1739379000"/>
    <n v="608785000"/>
    <n v="42423878.048780493"/>
    <n v="0.25762784013906198"/>
  </r>
  <r>
    <x v="3"/>
    <n v="22"/>
    <n v="1102782000"/>
    <n v="661669000"/>
    <n v="50126454.545454547"/>
    <n v="0.1633383781247417"/>
  </r>
  <r>
    <x v="4"/>
    <n v="19"/>
    <n v="929444000"/>
    <n v="929444000"/>
    <n v="48918105.263157897"/>
    <n v="0.13766444820261159"/>
  </r>
  <r>
    <x v="5"/>
    <n v="12"/>
    <n v="540855000"/>
    <n v="0"/>
    <n v="45071250"/>
    <n v="8.0108651121125654E-2"/>
  </r>
  <r>
    <x v="6"/>
    <n v="8"/>
    <n v="372863000"/>
    <n v="37286000"/>
    <n v="46607875"/>
    <n v="5.5226543127041949E-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3"/>
    <n v="258376000"/>
    <n v="11233739.130434783"/>
  </r>
  <r>
    <x v="1"/>
    <n v="14"/>
    <n v="171510000"/>
    <n v="12250714.285714285"/>
  </r>
  <r>
    <x v="2"/>
    <n v="20"/>
    <n v="153825000"/>
    <n v="7691250"/>
  </r>
  <r>
    <x v="3"/>
    <n v="23"/>
    <n v="84907000"/>
    <n v="3691608.6956521738"/>
  </r>
  <r>
    <x v="4"/>
    <n v="14"/>
    <n v="113381000"/>
    <n v="8098642.8571428573"/>
  </r>
  <r>
    <x v="5"/>
    <n v="15"/>
    <n v="138924000"/>
    <n v="9261600"/>
  </r>
  <r>
    <x v="6"/>
    <n v="19"/>
    <n v="0"/>
    <n v="0"/>
  </r>
  <r>
    <x v="7"/>
    <n v="22"/>
    <n v="8521000"/>
    <n v="387318.18181818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B3367-9FE1-1C47-AAE5-67EFDC1C587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5:G44" firstHeaderRow="1" firstDataRow="1" firstDataCol="1"/>
  <pivotFields count="4">
    <pivotField axis="axisRow" showAll="0">
      <items count="9">
        <item x="0"/>
        <item x="3"/>
        <item x="2"/>
        <item x="7"/>
        <item x="6"/>
        <item x="1"/>
        <item x="4"/>
        <item x="5"/>
        <item t="default"/>
      </items>
    </pivotField>
    <pivotField showAll="0"/>
    <pivotField numFmtId="165" showAll="0"/>
    <pivotField dataField="1" showAll="0"/>
  </pivotFields>
  <rowFields count="1">
    <field x="0"/>
  </rowFields>
  <rowItems count="9">
    <i>
      <x/>
    </i>
    <i>
      <x v="1"/>
    </i>
    <i>
      <x v="2"/>
    </i>
    <i>
      <x v="3"/>
    </i>
    <i>
      <x v="4"/>
    </i>
    <i>
      <x v="5"/>
    </i>
    <i>
      <x v="6"/>
    </i>
    <i>
      <x v="7"/>
    </i>
    <i t="grand">
      <x/>
    </i>
  </rowItems>
  <colItems count="1">
    <i/>
  </colItems>
  <dataFields count="1">
    <dataField name="Sum of Conversion rate " fld="3" baseField="0" baseItem="0"/>
  </dataFields>
  <formats count="2">
    <format dxfId="1">
      <pivotArea dataOnly="0" fieldPosition="0">
        <references count="1">
          <reference field="0" count="1">
            <x v="5"/>
          </reference>
        </references>
      </pivotArea>
    </format>
    <format dxfId="0">
      <pivotArea dataOnly="0" fieldPosition="0">
        <references count="1">
          <reference field="0" count="1">
            <x v="4"/>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5EFD1-DD32-5348-B78A-66D0559D33A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7:G45" firstHeaderRow="1" firstDataRow="1" firstDataCol="1"/>
  <pivotFields count="6">
    <pivotField axis="axisRow" showAll="0">
      <items count="8">
        <item x="5"/>
        <item x="4"/>
        <item x="3"/>
        <item x="6"/>
        <item x="2"/>
        <item x="0"/>
        <item x="1"/>
        <item t="default"/>
      </items>
    </pivotField>
    <pivotField showAll="0"/>
    <pivotField numFmtId="165" showAll="0"/>
    <pivotField numFmtId="165" showAll="0"/>
    <pivotField dataField="1" numFmtId="165" showAll="0"/>
    <pivotField numFmtId="167" showAll="0"/>
  </pivotFields>
  <rowFields count="1">
    <field x="0"/>
  </rowFields>
  <rowItems count="8">
    <i>
      <x/>
    </i>
    <i>
      <x v="1"/>
    </i>
    <i>
      <x v="2"/>
    </i>
    <i>
      <x v="3"/>
    </i>
    <i>
      <x v="4"/>
    </i>
    <i>
      <x v="5"/>
    </i>
    <i>
      <x v="6"/>
    </i>
    <i t="grand">
      <x/>
    </i>
  </rowItems>
  <colItems count="1">
    <i/>
  </colItems>
  <dataFields count="1">
    <dataField name="Sum of Avg Deal Size (R)"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53943B-C130-D245-AC3B-7E0B372C27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L35:N44" firstHeaderRow="0" firstDataRow="1" firstDataCol="1"/>
  <pivotFields count="5">
    <pivotField axis="axisRow" showAll="0">
      <items count="9">
        <item x="6"/>
        <item x="5"/>
        <item x="4"/>
        <item x="3"/>
        <item x="0"/>
        <item x="2"/>
        <item x="7"/>
        <item x="1"/>
        <item t="default"/>
      </items>
    </pivotField>
    <pivotField showAll="0"/>
    <pivotField dataField="1" numFmtId="165" showAll="0"/>
    <pivotField dataField="1" numFmtId="165" showAll="0"/>
    <pivotField numFmtId="165"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Total Value (R)" fld="2" baseField="0" baseItem="0"/>
    <dataField name="Sum of Weighted (R)" fld="3" baseField="0" baseItem="0"/>
  </dataFields>
  <formats count="4">
    <format dxfId="5">
      <pivotArea collapsedLevelsAreSubtotals="1" fieldPosition="0">
        <references count="1">
          <reference field="0" count="1">
            <x v="7"/>
          </reference>
        </references>
      </pivotArea>
    </format>
    <format dxfId="4">
      <pivotArea dataOnly="0" labelOnly="1" fieldPosition="0">
        <references count="1">
          <reference field="0" count="1">
            <x v="7"/>
          </reference>
        </references>
      </pivotArea>
    </format>
    <format dxfId="3">
      <pivotArea collapsedLevelsAreSubtotals="1" fieldPosition="0">
        <references count="1">
          <reference field="0" count="1">
            <x v="0"/>
          </reference>
        </references>
      </pivotArea>
    </format>
    <format dxfId="2">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D64CA-CAA9-7C45-B88C-001254576D0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Q2:AR9" firstHeaderRow="1" firstDataRow="1" firstDataCol="1"/>
  <pivotFields count="2">
    <pivotField axis="axisRow" showAll="0">
      <items count="7">
        <item x="4"/>
        <item x="3"/>
        <item x="1"/>
        <item x="0"/>
        <item x="2"/>
        <item x="5"/>
        <item t="default"/>
      </items>
    </pivotField>
    <pivotField dataField="1" showAll="0">
      <items count="152">
        <item x="63"/>
        <item x="62"/>
        <item x="55"/>
        <item x="27"/>
        <item x="57"/>
        <item x="113"/>
        <item x="58"/>
        <item x="54"/>
        <item x="2"/>
        <item x="116"/>
        <item x="126"/>
        <item x="39"/>
        <item x="121"/>
        <item x="41"/>
        <item x="3"/>
        <item x="149"/>
        <item x="7"/>
        <item x="23"/>
        <item x="117"/>
        <item x="95"/>
        <item x="129"/>
        <item x="69"/>
        <item x="26"/>
        <item x="59"/>
        <item x="128"/>
        <item x="109"/>
        <item x="1"/>
        <item x="99"/>
        <item x="82"/>
        <item x="38"/>
        <item x="19"/>
        <item x="86"/>
        <item x="52"/>
        <item x="142"/>
        <item x="25"/>
        <item x="97"/>
        <item x="31"/>
        <item x="40"/>
        <item x="127"/>
        <item x="32"/>
        <item x="50"/>
        <item x="61"/>
        <item x="89"/>
        <item x="133"/>
        <item x="141"/>
        <item x="76"/>
        <item x="101"/>
        <item x="124"/>
        <item x="53"/>
        <item x="136"/>
        <item x="36"/>
        <item x="93"/>
        <item x="81"/>
        <item x="122"/>
        <item x="16"/>
        <item x="105"/>
        <item x="108"/>
        <item x="13"/>
        <item x="143"/>
        <item x="45"/>
        <item x="87"/>
        <item x="134"/>
        <item x="29"/>
        <item x="11"/>
        <item x="30"/>
        <item x="35"/>
        <item x="135"/>
        <item x="103"/>
        <item x="37"/>
        <item x="144"/>
        <item x="107"/>
        <item x="106"/>
        <item x="119"/>
        <item x="46"/>
        <item x="72"/>
        <item x="85"/>
        <item x="20"/>
        <item x="138"/>
        <item x="66"/>
        <item x="146"/>
        <item x="77"/>
        <item x="0"/>
        <item x="44"/>
        <item x="6"/>
        <item x="15"/>
        <item x="132"/>
        <item x="68"/>
        <item x="64"/>
        <item x="114"/>
        <item x="71"/>
        <item x="83"/>
        <item x="75"/>
        <item x="100"/>
        <item x="8"/>
        <item x="4"/>
        <item x="33"/>
        <item x="65"/>
        <item x="5"/>
        <item x="118"/>
        <item x="51"/>
        <item x="137"/>
        <item x="34"/>
        <item x="104"/>
        <item x="18"/>
        <item x="140"/>
        <item x="28"/>
        <item x="92"/>
        <item x="120"/>
        <item x="94"/>
        <item x="73"/>
        <item x="131"/>
        <item x="78"/>
        <item x="148"/>
        <item x="98"/>
        <item x="70"/>
        <item x="56"/>
        <item x="67"/>
        <item x="79"/>
        <item x="139"/>
        <item x="14"/>
        <item x="145"/>
        <item x="43"/>
        <item x="111"/>
        <item x="80"/>
        <item x="12"/>
        <item x="110"/>
        <item x="42"/>
        <item x="84"/>
        <item x="147"/>
        <item x="96"/>
        <item x="17"/>
        <item x="112"/>
        <item x="125"/>
        <item x="123"/>
        <item x="21"/>
        <item x="88"/>
        <item x="60"/>
        <item x="49"/>
        <item x="22"/>
        <item x="130"/>
        <item x="24"/>
        <item x="48"/>
        <item x="102"/>
        <item x="90"/>
        <item x="47"/>
        <item x="10"/>
        <item x="115"/>
        <item x="9"/>
        <item x="74"/>
        <item x="91"/>
        <item x="150"/>
        <item t="default"/>
      </items>
    </pivotField>
  </pivotFields>
  <rowFields count="1">
    <field x="0"/>
  </rowFields>
  <rowItems count="7">
    <i>
      <x/>
    </i>
    <i>
      <x v="1"/>
    </i>
    <i>
      <x v="2"/>
    </i>
    <i>
      <x v="3"/>
    </i>
    <i>
      <x v="4"/>
    </i>
    <i>
      <x v="5"/>
    </i>
    <i t="grand">
      <x/>
    </i>
  </rowItems>
  <colItems count="1">
    <i/>
  </colItems>
  <dataFields count="1">
    <dataField name="Sum of Deal Value (R)"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6C9007-24D3-7E41-9EFB-2747E912F46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A3:BB10" firstHeaderRow="1" firstDataRow="1" firstDataCol="1" rowPageCount="1" colPageCount="1"/>
  <pivotFields count="3">
    <pivotField dataField="1" showAll="0"/>
    <pivotField axis="axisPage" showAll="0">
      <items count="8">
        <item x="4"/>
        <item x="0"/>
        <item x="1"/>
        <item x="5"/>
        <item x="3"/>
        <item x="2"/>
        <item x="6"/>
        <item t="default"/>
      </items>
    </pivotField>
    <pivotField axis="axisRow" showAll="0">
      <items count="7">
        <item x="4"/>
        <item x="3"/>
        <item x="1"/>
        <item x="0"/>
        <item x="2"/>
        <item x="5"/>
        <item t="default"/>
      </items>
    </pivotField>
  </pivotFields>
  <rowFields count="1">
    <field x="2"/>
  </rowFields>
  <rowItems count="7">
    <i>
      <x/>
    </i>
    <i>
      <x v="1"/>
    </i>
    <i>
      <x v="2"/>
    </i>
    <i>
      <x v="3"/>
    </i>
    <i>
      <x v="4"/>
    </i>
    <i>
      <x v="5"/>
    </i>
    <i t="grand">
      <x/>
    </i>
  </rowItems>
  <colItems count="1">
    <i/>
  </colItems>
  <pageFields count="1">
    <pageField fld="1" hier="-1"/>
  </pageFields>
  <dataFields count="1">
    <dataField name="Average of Deal Value (R)" fld="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9C506D-6DE7-A44D-B009-81FCAF2392C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V2:AW10" firstHeaderRow="1" firstDataRow="1" firstDataCol="1"/>
  <pivotFields count="2">
    <pivotField dataField="1" showAll="0"/>
    <pivotField axis="axisRow" showAll="0">
      <items count="8">
        <item x="4"/>
        <item x="0"/>
        <item x="1"/>
        <item x="5"/>
        <item x="3"/>
        <item x="2"/>
        <item x="6"/>
        <item t="default"/>
      </items>
    </pivotField>
  </pivotFields>
  <rowFields count="1">
    <field x="1"/>
  </rowFields>
  <rowItems count="8">
    <i>
      <x/>
    </i>
    <i>
      <x v="1"/>
    </i>
    <i>
      <x v="2"/>
    </i>
    <i>
      <x v="3"/>
    </i>
    <i>
      <x v="4"/>
    </i>
    <i>
      <x v="5"/>
    </i>
    <i>
      <x v="6"/>
    </i>
    <i t="grand">
      <x/>
    </i>
  </rowItems>
  <colItems count="1">
    <i/>
  </colItems>
  <dataFields count="1">
    <dataField name="Average of Deal Value (R)" fld="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C8D25-8C4F-BF4B-82A7-BF45F7421CE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K1:AL11" firstHeaderRow="1" firstDataRow="1" firstDataCol="1"/>
  <pivotFields count="2">
    <pivotField axis="axisRow" showAll="0" sortType="ascending">
      <items count="10">
        <item x="5"/>
        <item x="3"/>
        <item x="4"/>
        <item x="2"/>
        <item x="1"/>
        <item x="6"/>
        <item x="7"/>
        <item x="0"/>
        <item x="8"/>
        <item t="default"/>
      </items>
      <autoSortScope>
        <pivotArea dataOnly="0" outline="0" fieldPosition="0">
          <references count="1">
            <reference field="4294967294" count="1" selected="0">
              <x v="0"/>
            </reference>
          </references>
        </pivotArea>
      </autoSortScope>
    </pivotField>
    <pivotField dataField="1" showAll="0">
      <items count="152">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50"/>
        <item t="default"/>
      </items>
    </pivotField>
  </pivotFields>
  <rowFields count="1">
    <field x="0"/>
  </rowFields>
  <rowItems count="10">
    <i>
      <x v="8"/>
    </i>
    <i>
      <x/>
    </i>
    <i>
      <x v="6"/>
    </i>
    <i>
      <x v="2"/>
    </i>
    <i>
      <x v="5"/>
    </i>
    <i>
      <x v="7"/>
    </i>
    <i>
      <x v="1"/>
    </i>
    <i>
      <x v="3"/>
    </i>
    <i>
      <x v="4"/>
    </i>
    <i t="grand">
      <x/>
    </i>
  </rowItems>
  <colItems count="1">
    <i/>
  </colItems>
  <dataFields count="1">
    <dataField name="Average of Deal Value (R)" fld="1" subtotal="average"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8D4573-5D42-0D4A-8885-37A34EDE7EA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44" firstHeaderRow="1" firstDataRow="1" firstDataCol="1"/>
  <pivotFields count="2">
    <pivotField axis="axisRow" dataField="1" showAll="0">
      <items count="9">
        <item x="5"/>
        <item x="1"/>
        <item x="6"/>
        <item x="3"/>
        <item x="0"/>
        <item x="4"/>
        <item x="2"/>
        <item x="7"/>
        <item t="default"/>
      </items>
    </pivotField>
    <pivotField axis="axisRow" showAll="0">
      <items count="8">
        <item x="4"/>
        <item x="0"/>
        <item x="1"/>
        <item x="5"/>
        <item x="3"/>
        <item x="2"/>
        <item x="6"/>
        <item t="default"/>
      </items>
    </pivotField>
  </pivotFields>
  <rowFields count="2">
    <field x="1"/>
    <field x="0"/>
  </rowFields>
  <rowItems count="43">
    <i>
      <x/>
    </i>
    <i r="1">
      <x v="1"/>
    </i>
    <i r="1">
      <x v="2"/>
    </i>
    <i r="1">
      <x v="3"/>
    </i>
    <i r="1">
      <x v="4"/>
    </i>
    <i r="1">
      <x v="6"/>
    </i>
    <i>
      <x v="1"/>
    </i>
    <i r="1">
      <x/>
    </i>
    <i r="1">
      <x v="1"/>
    </i>
    <i r="1">
      <x v="2"/>
    </i>
    <i r="1">
      <x v="4"/>
    </i>
    <i r="1">
      <x v="5"/>
    </i>
    <i r="1">
      <x v="6"/>
    </i>
    <i>
      <x v="2"/>
    </i>
    <i r="1">
      <x/>
    </i>
    <i r="1">
      <x v="1"/>
    </i>
    <i r="1">
      <x v="2"/>
    </i>
    <i r="1">
      <x v="4"/>
    </i>
    <i r="1">
      <x v="5"/>
    </i>
    <i r="1">
      <x v="6"/>
    </i>
    <i>
      <x v="3"/>
    </i>
    <i r="1">
      <x v="4"/>
    </i>
    <i r="1">
      <x v="5"/>
    </i>
    <i r="1">
      <x v="6"/>
    </i>
    <i>
      <x v="4"/>
    </i>
    <i r="1">
      <x/>
    </i>
    <i r="1">
      <x v="1"/>
    </i>
    <i r="1">
      <x v="2"/>
    </i>
    <i r="1">
      <x v="3"/>
    </i>
    <i r="1">
      <x v="4"/>
    </i>
    <i r="1">
      <x v="5"/>
    </i>
    <i r="1">
      <x v="6"/>
    </i>
    <i>
      <x v="5"/>
    </i>
    <i r="1">
      <x/>
    </i>
    <i r="1">
      <x v="1"/>
    </i>
    <i r="1">
      <x v="2"/>
    </i>
    <i r="1">
      <x v="3"/>
    </i>
    <i r="1">
      <x v="4"/>
    </i>
    <i r="1">
      <x v="5"/>
    </i>
    <i r="1">
      <x v="6"/>
    </i>
    <i>
      <x v="6"/>
    </i>
    <i r="1">
      <x v="7"/>
    </i>
    <i t="grand">
      <x/>
    </i>
  </rowItems>
  <colItems count="1">
    <i/>
  </colItems>
  <dataFields count="1">
    <dataField name="Count of Stag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E73ADDB-6E91-824B-971F-D2FD837B3E8D}">
  <we:reference id="wa200009404" version="1.0.0.8" store="en-US" storeType="OMEX"/>
  <we:alternateReferences>
    <we:reference id="wa200009404" version="1.0.0.8" store="en-US" storeType="OMEX"/>
  </we:alternateReferences>
  <we:properties>
    <we:property name="claude.fileId" value="&quot;e4d6474f-7891-40be-a1d5-44046cffac25&quot;"/>
  </we:properties>
  <we:bindings/>
  <we:snapshot xmlns:r="http://schemas.openxmlformats.org/officeDocument/2006/relationships"/>
</we:webextension>
</file>

<file path=xl/webextensions/webextension2.xml><?xml version="1.0" encoding="utf-8"?>
<we:webextension xmlns:we="http://schemas.microsoft.com/office/webextensions/webextension/2010/11" id="{DF68DBCA-F3FF-0E45-AD14-031893D479D4}">
  <we:reference id="wa200008745" version="1.0.0.0" store="en-US" storeType="OMEX"/>
  <we:alternateReferences>
    <we:reference id="wa200008745" version="1.0.0.0" store="en-US"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13"/>
  <sheetViews>
    <sheetView showGridLines="0" topLeftCell="A2" workbookViewId="0">
      <selection activeCell="C7" sqref="C7:O7"/>
    </sheetView>
  </sheetViews>
  <sheetFormatPr baseColWidth="10" defaultColWidth="8.83203125" defaultRowHeight="15" x14ac:dyDescent="0.2"/>
  <cols>
    <col min="1" max="1" width="3" customWidth="1"/>
    <col min="2" max="15" width="13" customWidth="1"/>
  </cols>
  <sheetData>
    <row r="2" spans="2:16" ht="38" customHeight="1" x14ac:dyDescent="0.2">
      <c r="B2" s="89" t="s">
        <v>0</v>
      </c>
      <c r="C2" s="87"/>
      <c r="D2" s="87"/>
      <c r="E2" s="87"/>
      <c r="F2" s="87"/>
      <c r="G2" s="87"/>
      <c r="H2" s="87"/>
      <c r="I2" s="87"/>
      <c r="J2" s="87"/>
      <c r="K2" s="87"/>
      <c r="L2" s="87"/>
      <c r="M2" s="87"/>
      <c r="N2" s="87"/>
      <c r="O2" s="87"/>
    </row>
    <row r="3" spans="2:16" ht="20" customHeight="1" x14ac:dyDescent="0.2">
      <c r="B3" s="90" t="s">
        <v>1</v>
      </c>
      <c r="C3" s="87"/>
      <c r="D3" s="87"/>
      <c r="E3" s="87"/>
      <c r="F3" s="87"/>
      <c r="G3" s="87"/>
      <c r="H3" s="87"/>
      <c r="I3" s="87"/>
      <c r="J3" s="87"/>
      <c r="K3" s="87"/>
      <c r="L3" s="87"/>
      <c r="M3" s="87"/>
      <c r="N3" s="87"/>
      <c r="O3" s="87"/>
    </row>
    <row r="4" spans="2:16" ht="5" customHeight="1" x14ac:dyDescent="0.2">
      <c r="B4" s="1"/>
      <c r="C4" s="1"/>
      <c r="D4" s="1"/>
      <c r="E4" s="1"/>
      <c r="F4" s="1"/>
      <c r="G4" s="1"/>
      <c r="H4" s="1"/>
      <c r="I4" s="1"/>
      <c r="J4" s="1"/>
      <c r="K4" s="1"/>
      <c r="L4" s="1"/>
      <c r="M4" s="1"/>
      <c r="N4" s="1"/>
      <c r="O4" s="1"/>
      <c r="P4" s="1"/>
    </row>
    <row r="7" spans="2:16" ht="22" customHeight="1" x14ac:dyDescent="0.2">
      <c r="B7" s="2" t="s">
        <v>2</v>
      </c>
      <c r="C7" s="91" t="s">
        <v>791</v>
      </c>
      <c r="D7" s="87"/>
      <c r="E7" s="87"/>
      <c r="F7" s="87"/>
      <c r="G7" s="87"/>
      <c r="H7" s="87"/>
      <c r="I7" s="87"/>
      <c r="J7" s="87"/>
      <c r="K7" s="87"/>
      <c r="L7" s="87"/>
      <c r="M7" s="87"/>
      <c r="N7" s="87"/>
      <c r="O7" s="87"/>
    </row>
    <row r="8" spans="2:16" ht="22" customHeight="1" x14ac:dyDescent="0.2">
      <c r="B8" s="3" t="s">
        <v>3</v>
      </c>
      <c r="C8" s="88" t="s">
        <v>4</v>
      </c>
      <c r="D8" s="87"/>
      <c r="E8" s="87"/>
      <c r="F8" s="87"/>
      <c r="G8" s="87"/>
      <c r="H8" s="87"/>
      <c r="I8" s="87"/>
      <c r="J8" s="87"/>
      <c r="K8" s="87"/>
      <c r="L8" s="87"/>
      <c r="M8" s="87"/>
      <c r="N8" s="87"/>
      <c r="O8" s="87"/>
    </row>
    <row r="9" spans="2:16" ht="22" customHeight="1" x14ac:dyDescent="0.2">
      <c r="B9" s="2" t="s">
        <v>5</v>
      </c>
      <c r="C9" s="86" t="s">
        <v>6</v>
      </c>
      <c r="D9" s="87"/>
      <c r="E9" s="87"/>
      <c r="F9" s="87"/>
      <c r="G9" s="87"/>
      <c r="H9" s="87"/>
      <c r="I9" s="87"/>
      <c r="J9" s="87"/>
      <c r="K9" s="87"/>
      <c r="L9" s="87"/>
      <c r="M9" s="87"/>
      <c r="N9" s="87"/>
      <c r="O9" s="87"/>
    </row>
    <row r="10" spans="2:16" ht="22" customHeight="1" x14ac:dyDescent="0.2">
      <c r="B10" s="3" t="s">
        <v>7</v>
      </c>
      <c r="C10" s="88" t="s">
        <v>8</v>
      </c>
      <c r="D10" s="87"/>
      <c r="E10" s="87"/>
      <c r="F10" s="87"/>
      <c r="G10" s="87"/>
      <c r="H10" s="87"/>
      <c r="I10" s="87"/>
      <c r="J10" s="87"/>
      <c r="K10" s="87"/>
      <c r="L10" s="87"/>
      <c r="M10" s="87"/>
      <c r="N10" s="87"/>
      <c r="O10" s="87"/>
    </row>
    <row r="11" spans="2:16" ht="22" customHeight="1" x14ac:dyDescent="0.2">
      <c r="B11" s="2" t="s">
        <v>9</v>
      </c>
      <c r="C11" s="86" t="s">
        <v>10</v>
      </c>
      <c r="D11" s="87"/>
      <c r="E11" s="87"/>
      <c r="F11" s="87"/>
      <c r="G11" s="87"/>
      <c r="H11" s="87"/>
      <c r="I11" s="87"/>
      <c r="J11" s="87"/>
      <c r="K11" s="87"/>
      <c r="L11" s="87"/>
      <c r="M11" s="87"/>
      <c r="N11" s="87"/>
      <c r="O11" s="87"/>
    </row>
    <row r="12" spans="2:16" ht="22" customHeight="1" x14ac:dyDescent="0.2">
      <c r="B12" s="3" t="s">
        <v>11</v>
      </c>
      <c r="C12" s="88" t="s">
        <v>12</v>
      </c>
      <c r="D12" s="87"/>
      <c r="E12" s="87"/>
      <c r="F12" s="87"/>
      <c r="G12" s="87"/>
      <c r="H12" s="87"/>
      <c r="I12" s="87"/>
      <c r="J12" s="87"/>
      <c r="K12" s="87"/>
      <c r="L12" s="87"/>
      <c r="M12" s="87"/>
      <c r="N12" s="87"/>
      <c r="O12" s="87"/>
    </row>
    <row r="13" spans="2:16" ht="22" customHeight="1" x14ac:dyDescent="0.2">
      <c r="B13" s="2" t="s">
        <v>13</v>
      </c>
      <c r="C13" s="86" t="s">
        <v>14</v>
      </c>
      <c r="D13" s="87"/>
      <c r="E13" s="87"/>
      <c r="F13" s="87"/>
      <c r="G13" s="87"/>
      <c r="H13" s="87"/>
      <c r="I13" s="87"/>
      <c r="J13" s="87"/>
      <c r="K13" s="87"/>
      <c r="L13" s="87"/>
      <c r="M13" s="87"/>
      <c r="N13" s="87"/>
      <c r="O13" s="87"/>
    </row>
  </sheetData>
  <mergeCells count="9">
    <mergeCell ref="C13:O13"/>
    <mergeCell ref="C9:O9"/>
    <mergeCell ref="C8:O8"/>
    <mergeCell ref="B2:O2"/>
    <mergeCell ref="C12:O12"/>
    <mergeCell ref="B3:O3"/>
    <mergeCell ref="C7:O7"/>
    <mergeCell ref="C11:O11"/>
    <mergeCell ref="C10:O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36"/>
  <sheetViews>
    <sheetView showGridLines="0" tabSelected="1" zoomScale="156" workbookViewId="0">
      <selection activeCell="B26" sqref="B26:F26"/>
    </sheetView>
  </sheetViews>
  <sheetFormatPr baseColWidth="10" defaultColWidth="8.83203125" defaultRowHeight="15" x14ac:dyDescent="0.2"/>
  <cols>
    <col min="1" max="1" width="3" customWidth="1"/>
    <col min="2" max="2" width="7" customWidth="1"/>
    <col min="3" max="3" width="54" customWidth="1"/>
    <col min="4" max="4" width="22" customWidth="1"/>
    <col min="5" max="5" width="18" customWidth="1"/>
    <col min="6" max="6" width="16" customWidth="1"/>
  </cols>
  <sheetData>
    <row r="2" spans="2:16" ht="38" customHeight="1" x14ac:dyDescent="0.2">
      <c r="B2" s="89" t="s">
        <v>15</v>
      </c>
      <c r="C2" s="87"/>
      <c r="D2" s="87"/>
      <c r="E2" s="87"/>
      <c r="F2" s="87"/>
    </row>
    <row r="3" spans="2:16" ht="20" customHeight="1" x14ac:dyDescent="0.2">
      <c r="B3" s="90" t="s">
        <v>16</v>
      </c>
      <c r="C3" s="87"/>
      <c r="D3" s="87"/>
      <c r="E3" s="87"/>
      <c r="F3" s="87"/>
    </row>
    <row r="4" spans="2:16" ht="5" customHeight="1" x14ac:dyDescent="0.2">
      <c r="B4" s="1"/>
      <c r="C4" s="1"/>
      <c r="D4" s="1"/>
      <c r="E4" s="1"/>
      <c r="F4" s="1"/>
      <c r="G4" s="1"/>
      <c r="H4" s="1"/>
      <c r="I4" s="1"/>
      <c r="J4" s="1"/>
      <c r="K4" s="1"/>
      <c r="L4" s="1"/>
      <c r="M4" s="1"/>
      <c r="N4" s="1"/>
      <c r="O4" s="1"/>
      <c r="P4" s="1"/>
    </row>
    <row r="6" spans="2:16" ht="22" customHeight="1" x14ac:dyDescent="0.2">
      <c r="B6" s="4" t="s">
        <v>17</v>
      </c>
      <c r="C6" s="91" t="s">
        <v>792</v>
      </c>
      <c r="D6" s="87"/>
      <c r="E6" s="87"/>
      <c r="F6" s="87"/>
    </row>
    <row r="7" spans="2:16" ht="22" customHeight="1" x14ac:dyDescent="0.2">
      <c r="B7" s="4" t="s">
        <v>18</v>
      </c>
      <c r="C7" s="88" t="s">
        <v>19</v>
      </c>
      <c r="D7" s="87"/>
      <c r="E7" s="87"/>
      <c r="F7" s="87"/>
    </row>
    <row r="8" spans="2:16" ht="22" customHeight="1" x14ac:dyDescent="0.2">
      <c r="B8" s="4" t="s">
        <v>20</v>
      </c>
      <c r="C8" s="86" t="s">
        <v>21</v>
      </c>
      <c r="D8" s="87"/>
      <c r="E8" s="87"/>
      <c r="F8" s="87"/>
    </row>
    <row r="9" spans="2:16" ht="22" customHeight="1" x14ac:dyDescent="0.2">
      <c r="B9" s="4" t="s">
        <v>22</v>
      </c>
      <c r="C9" s="88" t="s">
        <v>23</v>
      </c>
      <c r="D9" s="87"/>
      <c r="E9" s="87"/>
      <c r="F9" s="87"/>
    </row>
    <row r="10" spans="2:16" ht="22" customHeight="1" x14ac:dyDescent="0.2">
      <c r="B10" s="4" t="s">
        <v>24</v>
      </c>
      <c r="C10" s="86" t="s">
        <v>25</v>
      </c>
      <c r="D10" s="87"/>
      <c r="E10" s="87"/>
      <c r="F10" s="87"/>
    </row>
    <row r="12" spans="2:16" ht="22" customHeight="1" x14ac:dyDescent="0.2">
      <c r="B12" s="92" t="s">
        <v>26</v>
      </c>
      <c r="C12" s="87"/>
      <c r="D12" s="87"/>
      <c r="E12" s="87"/>
      <c r="F12" s="87"/>
    </row>
    <row r="13" spans="2:16" ht="85" customHeight="1" x14ac:dyDescent="0.2">
      <c r="B13" s="94" t="s">
        <v>27</v>
      </c>
      <c r="C13" s="87"/>
      <c r="D13" s="87"/>
      <c r="E13" s="87"/>
      <c r="F13" s="87"/>
    </row>
    <row r="15" spans="2:16" ht="22" customHeight="1" x14ac:dyDescent="0.2">
      <c r="B15" s="92" t="s">
        <v>28</v>
      </c>
      <c r="C15" s="87"/>
      <c r="D15" s="87"/>
      <c r="E15" s="87"/>
      <c r="F15" s="87"/>
    </row>
    <row r="16" spans="2:16" ht="22" customHeight="1" x14ac:dyDescent="0.2">
      <c r="B16" s="5" t="s">
        <v>29</v>
      </c>
      <c r="C16" s="5" t="s">
        <v>30</v>
      </c>
      <c r="D16" s="5" t="s">
        <v>31</v>
      </c>
      <c r="E16" s="5" t="s">
        <v>32</v>
      </c>
      <c r="F16" s="5" t="s">
        <v>33</v>
      </c>
    </row>
    <row r="17" spans="2:6" ht="38" customHeight="1" x14ac:dyDescent="0.2">
      <c r="B17" s="45" t="s">
        <v>34</v>
      </c>
      <c r="C17" s="46" t="s">
        <v>35</v>
      </c>
      <c r="D17" s="47" t="s">
        <v>36</v>
      </c>
      <c r="E17" s="48" t="s">
        <v>37</v>
      </c>
      <c r="F17" s="49" t="s">
        <v>38</v>
      </c>
    </row>
    <row r="18" spans="2:6" ht="38" customHeight="1" x14ac:dyDescent="0.2">
      <c r="B18" s="45" t="s">
        <v>39</v>
      </c>
      <c r="C18" s="46" t="s">
        <v>40</v>
      </c>
      <c r="D18" s="47" t="s">
        <v>41</v>
      </c>
      <c r="E18" s="48" t="s">
        <v>37</v>
      </c>
      <c r="F18" s="49" t="s">
        <v>38</v>
      </c>
    </row>
    <row r="19" spans="2:6" ht="38" customHeight="1" x14ac:dyDescent="0.2">
      <c r="B19" s="45" t="s">
        <v>42</v>
      </c>
      <c r="C19" s="46" t="s">
        <v>43</v>
      </c>
      <c r="D19" s="47" t="s">
        <v>44</v>
      </c>
      <c r="E19" s="48" t="s">
        <v>45</v>
      </c>
      <c r="F19" s="49" t="s">
        <v>38</v>
      </c>
    </row>
    <row r="20" spans="2:6" ht="38" customHeight="1" x14ac:dyDescent="0.2">
      <c r="B20" s="45" t="s">
        <v>46</v>
      </c>
      <c r="C20" s="46" t="s">
        <v>47</v>
      </c>
      <c r="D20" s="47" t="s">
        <v>48</v>
      </c>
      <c r="E20" s="48" t="s">
        <v>37</v>
      </c>
      <c r="F20" s="49" t="s">
        <v>38</v>
      </c>
    </row>
    <row r="21" spans="2:6" ht="38" customHeight="1" x14ac:dyDescent="0.2">
      <c r="B21" s="6" t="s">
        <v>49</v>
      </c>
      <c r="C21" s="43" t="s">
        <v>50</v>
      </c>
      <c r="D21" s="7" t="s">
        <v>51</v>
      </c>
      <c r="E21" s="8" t="s">
        <v>52</v>
      </c>
      <c r="F21" s="9" t="s">
        <v>38</v>
      </c>
    </row>
    <row r="22" spans="2:6" ht="38" customHeight="1" x14ac:dyDescent="0.2">
      <c r="B22" s="45" t="s">
        <v>53</v>
      </c>
      <c r="C22" s="46" t="s">
        <v>54</v>
      </c>
      <c r="D22" s="47" t="s">
        <v>55</v>
      </c>
      <c r="E22" s="48" t="s">
        <v>37</v>
      </c>
      <c r="F22" s="49" t="s">
        <v>38</v>
      </c>
    </row>
    <row r="23" spans="2:6" ht="38" customHeight="1" x14ac:dyDescent="0.2">
      <c r="B23" s="45" t="s">
        <v>56</v>
      </c>
      <c r="C23" s="47" t="s">
        <v>57</v>
      </c>
      <c r="D23" s="47" t="s">
        <v>58</v>
      </c>
      <c r="E23" s="48" t="s">
        <v>59</v>
      </c>
      <c r="F23" s="49" t="s">
        <v>38</v>
      </c>
    </row>
    <row r="24" spans="2:6" ht="38" customHeight="1" x14ac:dyDescent="0.2">
      <c r="B24" s="45" t="s">
        <v>60</v>
      </c>
      <c r="C24" s="47" t="s">
        <v>61</v>
      </c>
      <c r="D24" s="47" t="s">
        <v>58</v>
      </c>
      <c r="E24" s="48" t="s">
        <v>59</v>
      </c>
      <c r="F24" s="49" t="s">
        <v>38</v>
      </c>
    </row>
    <row r="25" spans="2:6" ht="38" customHeight="1" x14ac:dyDescent="0.2">
      <c r="B25" s="45" t="s">
        <v>62</v>
      </c>
      <c r="C25" s="47" t="s">
        <v>63</v>
      </c>
      <c r="D25" s="47" t="s">
        <v>64</v>
      </c>
      <c r="E25" s="48" t="s">
        <v>52</v>
      </c>
      <c r="F25" s="101" t="s">
        <v>65</v>
      </c>
    </row>
    <row r="26" spans="2:6" ht="38" customHeight="1" x14ac:dyDescent="0.2">
      <c r="B26" s="45" t="s">
        <v>66</v>
      </c>
      <c r="C26" s="47" t="s">
        <v>67</v>
      </c>
      <c r="D26" s="47" t="s">
        <v>68</v>
      </c>
      <c r="E26" s="48" t="s">
        <v>45</v>
      </c>
      <c r="F26" s="101" t="s">
        <v>65</v>
      </c>
    </row>
    <row r="28" spans="2:6" ht="22" customHeight="1" x14ac:dyDescent="0.2">
      <c r="B28" s="93" t="s">
        <v>69</v>
      </c>
      <c r="C28" s="87"/>
      <c r="D28" s="87"/>
      <c r="E28" s="87"/>
      <c r="F28" s="87"/>
    </row>
    <row r="29" spans="2:6" ht="22" customHeight="1" x14ac:dyDescent="0.2">
      <c r="B29" s="5" t="s">
        <v>29</v>
      </c>
      <c r="C29" s="5" t="s">
        <v>70</v>
      </c>
      <c r="D29" s="5" t="s">
        <v>71</v>
      </c>
      <c r="E29" s="5" t="s">
        <v>72</v>
      </c>
      <c r="F29" s="5" t="s">
        <v>73</v>
      </c>
    </row>
    <row r="30" spans="2:6" ht="30" customHeight="1" x14ac:dyDescent="0.2">
      <c r="B30" s="65" t="s">
        <v>74</v>
      </c>
      <c r="C30" s="66" t="s">
        <v>75</v>
      </c>
      <c r="D30" s="67" t="s">
        <v>76</v>
      </c>
      <c r="E30" s="67" t="s">
        <v>59</v>
      </c>
      <c r="F30" s="68" t="s">
        <v>77</v>
      </c>
    </row>
    <row r="31" spans="2:6" ht="30" customHeight="1" x14ac:dyDescent="0.2">
      <c r="B31" s="14" t="s">
        <v>78</v>
      </c>
      <c r="C31" s="15" t="s">
        <v>79</v>
      </c>
      <c r="D31" s="16" t="s">
        <v>80</v>
      </c>
      <c r="E31" s="16" t="s">
        <v>52</v>
      </c>
      <c r="F31" s="15" t="s">
        <v>81</v>
      </c>
    </row>
    <row r="32" spans="2:6" ht="30" customHeight="1" x14ac:dyDescent="0.2">
      <c r="B32" s="65" t="s">
        <v>847</v>
      </c>
      <c r="C32" s="68" t="s">
        <v>82</v>
      </c>
      <c r="D32" s="67" t="s">
        <v>83</v>
      </c>
      <c r="E32" s="67" t="s">
        <v>45</v>
      </c>
      <c r="F32" s="68" t="s">
        <v>84</v>
      </c>
    </row>
    <row r="33" spans="2:6" ht="30" customHeight="1" x14ac:dyDescent="0.2">
      <c r="B33" s="65" t="s">
        <v>85</v>
      </c>
      <c r="C33" s="66" t="s">
        <v>86</v>
      </c>
      <c r="D33" s="67" t="s">
        <v>87</v>
      </c>
      <c r="E33" s="67" t="s">
        <v>59</v>
      </c>
      <c r="F33" s="68" t="s">
        <v>88</v>
      </c>
    </row>
    <row r="34" spans="2:6" ht="30" customHeight="1" x14ac:dyDescent="0.2">
      <c r="B34" s="65" t="s">
        <v>89</v>
      </c>
      <c r="C34" s="66" t="s">
        <v>90</v>
      </c>
      <c r="D34" s="67" t="s">
        <v>91</v>
      </c>
      <c r="E34" s="67" t="s">
        <v>52</v>
      </c>
      <c r="F34" s="68" t="s">
        <v>92</v>
      </c>
    </row>
    <row r="35" spans="2:6" ht="30" customHeight="1" x14ac:dyDescent="0.2">
      <c r="B35" s="65" t="s">
        <v>93</v>
      </c>
      <c r="C35" s="66" t="s">
        <v>94</v>
      </c>
      <c r="D35" s="67" t="s">
        <v>95</v>
      </c>
      <c r="E35" s="67" t="s">
        <v>59</v>
      </c>
      <c r="F35" s="68" t="s">
        <v>96</v>
      </c>
    </row>
    <row r="36" spans="2:6" ht="30" customHeight="1" x14ac:dyDescent="0.2">
      <c r="B36" s="65" t="s">
        <v>97</v>
      </c>
      <c r="C36" s="66" t="s">
        <v>98</v>
      </c>
      <c r="D36" s="67" t="s">
        <v>99</v>
      </c>
      <c r="E36" s="67" t="s">
        <v>59</v>
      </c>
      <c r="F36" s="68" t="s">
        <v>100</v>
      </c>
    </row>
  </sheetData>
  <mergeCells count="11">
    <mergeCell ref="B2:F2"/>
    <mergeCell ref="C8:F8"/>
    <mergeCell ref="B15:F15"/>
    <mergeCell ref="B28:F28"/>
    <mergeCell ref="B3:F3"/>
    <mergeCell ref="C6:F6"/>
    <mergeCell ref="C7:F7"/>
    <mergeCell ref="C10:F10"/>
    <mergeCell ref="B13:F13"/>
    <mergeCell ref="C9:F9"/>
    <mergeCell ref="B12:F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44"/>
  <sheetViews>
    <sheetView showGridLines="0" topLeftCell="A16" zoomScale="89" workbookViewId="0">
      <selection activeCell="G58" sqref="G58"/>
    </sheetView>
  </sheetViews>
  <sheetFormatPr baseColWidth="10" defaultColWidth="8.83203125" defaultRowHeight="15" x14ac:dyDescent="0.2"/>
  <cols>
    <col min="1" max="1" width="3" customWidth="1"/>
    <col min="2" max="2" width="22" customWidth="1"/>
    <col min="3" max="3" width="16" customWidth="1"/>
    <col min="4" max="4" width="15.1640625" bestFit="1" customWidth="1"/>
    <col min="5" max="5" width="22.83203125" bestFit="1" customWidth="1"/>
    <col min="6" max="6" width="15.1640625" bestFit="1" customWidth="1"/>
    <col min="7" max="7" width="19.5" bestFit="1" customWidth="1"/>
    <col min="8" max="8" width="10" customWidth="1"/>
    <col min="9" max="9" width="22" customWidth="1"/>
    <col min="10" max="10" width="14" customWidth="1"/>
    <col min="11" max="11" width="10" customWidth="1"/>
  </cols>
  <sheetData>
    <row r="2" spans="2:16" ht="38" customHeight="1" x14ac:dyDescent="0.2">
      <c r="B2" s="89" t="s">
        <v>716</v>
      </c>
      <c r="C2" s="87"/>
      <c r="D2" s="87"/>
      <c r="E2" s="87"/>
      <c r="F2" s="87"/>
      <c r="G2" s="87"/>
      <c r="H2" s="87"/>
      <c r="I2" s="87"/>
      <c r="J2" s="87"/>
      <c r="K2" s="87"/>
      <c r="L2" s="87"/>
      <c r="M2" s="87"/>
    </row>
    <row r="3" spans="2:16" ht="20" customHeight="1" x14ac:dyDescent="0.2">
      <c r="B3" s="90" t="s">
        <v>717</v>
      </c>
      <c r="C3" s="87"/>
      <c r="D3" s="87"/>
      <c r="E3" s="87"/>
      <c r="F3" s="87"/>
      <c r="G3" s="87"/>
      <c r="H3" s="87"/>
      <c r="I3" s="87"/>
      <c r="J3" s="87"/>
      <c r="K3" s="87"/>
      <c r="L3" s="87"/>
      <c r="M3" s="87"/>
    </row>
    <row r="4" spans="2:16" ht="5" customHeight="1" x14ac:dyDescent="0.2">
      <c r="B4" s="1"/>
      <c r="C4" s="1"/>
      <c r="D4" s="1"/>
      <c r="E4" s="1"/>
      <c r="F4" s="1"/>
      <c r="G4" s="1"/>
      <c r="H4" s="1"/>
      <c r="I4" s="1"/>
      <c r="J4" s="1"/>
      <c r="K4" s="1"/>
      <c r="L4" s="1"/>
      <c r="M4" s="1"/>
      <c r="N4" s="1"/>
      <c r="O4" s="1"/>
      <c r="P4" s="1"/>
    </row>
    <row r="6" spans="2:16" ht="28" customHeight="1" x14ac:dyDescent="0.2">
      <c r="B6" s="5" t="s">
        <v>112</v>
      </c>
      <c r="C6" s="5" t="s">
        <v>703</v>
      </c>
      <c r="D6" s="5" t="s">
        <v>718</v>
      </c>
      <c r="E6" s="5" t="s">
        <v>111</v>
      </c>
      <c r="F6" s="5" t="s">
        <v>705</v>
      </c>
      <c r="G6" s="5" t="s">
        <v>706</v>
      </c>
      <c r="H6" s="5" t="s">
        <v>719</v>
      </c>
      <c r="I6" s="5" t="s">
        <v>720</v>
      </c>
      <c r="J6" s="5" t="s">
        <v>709</v>
      </c>
      <c r="K6" s="5" t="s">
        <v>721</v>
      </c>
    </row>
    <row r="7" spans="2:16" ht="22" customHeight="1" x14ac:dyDescent="0.2">
      <c r="B7" s="7" t="s">
        <v>130</v>
      </c>
      <c r="C7" s="8">
        <v>23</v>
      </c>
      <c r="D7" s="29">
        <v>1073401000</v>
      </c>
      <c r="E7" s="29">
        <v>524892000</v>
      </c>
      <c r="F7" s="29">
        <v>258376000</v>
      </c>
      <c r="G7" s="29">
        <v>44363000</v>
      </c>
      <c r="H7" s="31">
        <v>0.8534612322825933</v>
      </c>
      <c r="I7" s="30">
        <v>598284200</v>
      </c>
      <c r="J7" s="31">
        <v>6.6309101176470584</v>
      </c>
      <c r="K7" s="8">
        <v>1</v>
      </c>
    </row>
    <row r="8" spans="2:16" ht="22" customHeight="1" x14ac:dyDescent="0.2">
      <c r="B8" s="10" t="s">
        <v>203</v>
      </c>
      <c r="C8" s="11">
        <v>14</v>
      </c>
      <c r="D8" s="32">
        <v>574642000</v>
      </c>
      <c r="E8" s="32">
        <v>263083000</v>
      </c>
      <c r="F8" s="32">
        <v>171510000</v>
      </c>
      <c r="G8" s="32">
        <v>95780000</v>
      </c>
      <c r="H8" s="34">
        <v>0.64166261364061505</v>
      </c>
      <c r="I8" s="33">
        <v>288880550</v>
      </c>
      <c r="J8" s="34">
        <v>3.7188757647058819</v>
      </c>
      <c r="K8" s="11">
        <v>2</v>
      </c>
    </row>
    <row r="9" spans="2:16" ht="22" customHeight="1" x14ac:dyDescent="0.2">
      <c r="B9" s="7" t="s">
        <v>234</v>
      </c>
      <c r="C9" s="8">
        <v>20</v>
      </c>
      <c r="D9" s="29">
        <v>791032000</v>
      </c>
      <c r="E9" s="29">
        <v>265638000</v>
      </c>
      <c r="F9" s="29">
        <v>153825000</v>
      </c>
      <c r="G9" s="29">
        <v>13320000</v>
      </c>
      <c r="H9" s="31">
        <v>0.92030871399084624</v>
      </c>
      <c r="I9" s="30">
        <v>273367300</v>
      </c>
      <c r="J9" s="31">
        <v>3.5728687058823532</v>
      </c>
      <c r="K9" s="8">
        <v>3</v>
      </c>
    </row>
    <row r="10" spans="2:16" ht="22" customHeight="1" x14ac:dyDescent="0.2">
      <c r="B10" s="10" t="s">
        <v>165</v>
      </c>
      <c r="C10" s="11">
        <v>23</v>
      </c>
      <c r="D10" s="32">
        <v>968386000</v>
      </c>
      <c r="E10" s="32">
        <v>326985000</v>
      </c>
      <c r="F10" s="32">
        <v>84907000</v>
      </c>
      <c r="G10" s="32">
        <v>131166000</v>
      </c>
      <c r="H10" s="34">
        <v>0.39295515867322622</v>
      </c>
      <c r="I10" s="33">
        <v>256594250</v>
      </c>
      <c r="J10" s="34">
        <v>3.4150047058823532</v>
      </c>
      <c r="K10" s="11">
        <v>4</v>
      </c>
    </row>
    <row r="11" spans="2:16" ht="22" customHeight="1" x14ac:dyDescent="0.2">
      <c r="B11" s="7" t="s">
        <v>215</v>
      </c>
      <c r="C11" s="8">
        <v>14</v>
      </c>
      <c r="D11" s="29">
        <v>641154000</v>
      </c>
      <c r="E11" s="29">
        <v>259561000</v>
      </c>
      <c r="F11" s="29">
        <v>113381000</v>
      </c>
      <c r="G11" s="29">
        <v>55421000</v>
      </c>
      <c r="H11" s="31">
        <v>0.67168043032665492</v>
      </c>
      <c r="I11" s="30">
        <v>227757850</v>
      </c>
      <c r="J11" s="31">
        <v>3.1436032941176468</v>
      </c>
      <c r="K11" s="8">
        <v>5</v>
      </c>
    </row>
    <row r="12" spans="2:16" ht="22" customHeight="1" x14ac:dyDescent="0.2">
      <c r="B12" s="10" t="s">
        <v>174</v>
      </c>
      <c r="C12" s="11">
        <v>15</v>
      </c>
      <c r="D12" s="32">
        <v>648205000</v>
      </c>
      <c r="E12" s="32">
        <v>219657000</v>
      </c>
      <c r="F12" s="32">
        <v>138924000</v>
      </c>
      <c r="G12" s="32">
        <v>0</v>
      </c>
      <c r="H12" s="34">
        <v>1</v>
      </c>
      <c r="I12" s="33">
        <v>219382450</v>
      </c>
      <c r="J12" s="34">
        <v>3.0647760000000002</v>
      </c>
      <c r="K12" s="11">
        <v>6</v>
      </c>
    </row>
    <row r="13" spans="2:16" ht="22" customHeight="1" x14ac:dyDescent="0.2">
      <c r="B13" s="7" t="s">
        <v>275</v>
      </c>
      <c r="C13" s="8">
        <v>19</v>
      </c>
      <c r="D13" s="29">
        <v>1041044000</v>
      </c>
      <c r="E13" s="29">
        <v>318096000</v>
      </c>
      <c r="F13" s="29">
        <v>0</v>
      </c>
      <c r="G13" s="29">
        <v>153866000</v>
      </c>
      <c r="H13" s="31">
        <v>0</v>
      </c>
      <c r="I13" s="30">
        <v>164131600</v>
      </c>
      <c r="J13" s="31">
        <v>2.5447679999999999</v>
      </c>
      <c r="K13" s="8">
        <v>7</v>
      </c>
    </row>
    <row r="14" spans="2:16" ht="22" customHeight="1" x14ac:dyDescent="0.2">
      <c r="B14" s="10" t="s">
        <v>143</v>
      </c>
      <c r="C14" s="11">
        <v>22</v>
      </c>
      <c r="D14" s="32">
        <v>1013654000</v>
      </c>
      <c r="E14" s="32">
        <v>275895000</v>
      </c>
      <c r="F14" s="32">
        <v>8521000</v>
      </c>
      <c r="G14" s="32">
        <v>46939000</v>
      </c>
      <c r="H14" s="34">
        <v>0.15364226469527589</v>
      </c>
      <c r="I14" s="33">
        <v>136781750</v>
      </c>
      <c r="J14" s="34">
        <v>2.2873576470588231</v>
      </c>
      <c r="K14" s="11">
        <v>8</v>
      </c>
    </row>
    <row r="16" spans="2:16" ht="20" x14ac:dyDescent="0.25">
      <c r="B16" s="44" t="s">
        <v>43</v>
      </c>
    </row>
    <row r="34" spans="2:7" ht="20" x14ac:dyDescent="0.25">
      <c r="B34" s="44" t="s">
        <v>67</v>
      </c>
    </row>
    <row r="35" spans="2:7" x14ac:dyDescent="0.2">
      <c r="B35" s="5" t="s">
        <v>112</v>
      </c>
      <c r="C35" s="5" t="s">
        <v>703</v>
      </c>
      <c r="D35" s="5" t="s">
        <v>705</v>
      </c>
      <c r="E35" s="102" t="s">
        <v>849</v>
      </c>
      <c r="F35" s="51" t="s">
        <v>795</v>
      </c>
      <c r="G35" t="s">
        <v>850</v>
      </c>
    </row>
    <row r="36" spans="2:7" x14ac:dyDescent="0.2">
      <c r="B36" s="7" t="s">
        <v>130</v>
      </c>
      <c r="C36" s="8">
        <v>23</v>
      </c>
      <c r="D36" s="29">
        <v>258376000</v>
      </c>
      <c r="E36">
        <f>D36/C36</f>
        <v>11233739.130434783</v>
      </c>
      <c r="F36" s="50" t="s">
        <v>130</v>
      </c>
      <c r="G36" s="100">
        <v>11233739.130434783</v>
      </c>
    </row>
    <row r="37" spans="2:7" x14ac:dyDescent="0.2">
      <c r="B37" s="10" t="s">
        <v>203</v>
      </c>
      <c r="C37" s="11">
        <v>14</v>
      </c>
      <c r="D37" s="32">
        <v>171510000</v>
      </c>
      <c r="E37">
        <f>D37/C37</f>
        <v>12250714.285714285</v>
      </c>
      <c r="F37" s="50" t="s">
        <v>165</v>
      </c>
      <c r="G37" s="100">
        <v>3691608.6956521738</v>
      </c>
    </row>
    <row r="38" spans="2:7" x14ac:dyDescent="0.2">
      <c r="B38" s="7" t="s">
        <v>234</v>
      </c>
      <c r="C38" s="8">
        <v>20</v>
      </c>
      <c r="D38" s="29">
        <v>153825000</v>
      </c>
      <c r="E38">
        <f>D38/C38</f>
        <v>7691250</v>
      </c>
      <c r="F38" s="50" t="s">
        <v>234</v>
      </c>
      <c r="G38" s="100">
        <v>7691250</v>
      </c>
    </row>
    <row r="39" spans="2:7" x14ac:dyDescent="0.2">
      <c r="B39" s="10" t="s">
        <v>165</v>
      </c>
      <c r="C39" s="11">
        <v>23</v>
      </c>
      <c r="D39" s="32">
        <v>84907000</v>
      </c>
      <c r="E39">
        <f>D39/C39</f>
        <v>3691608.6956521738</v>
      </c>
      <c r="F39" s="50" t="s">
        <v>143</v>
      </c>
      <c r="G39" s="100">
        <v>387318.18181818182</v>
      </c>
    </row>
    <row r="40" spans="2:7" x14ac:dyDescent="0.2">
      <c r="B40" s="7" t="s">
        <v>215</v>
      </c>
      <c r="C40" s="8">
        <v>14</v>
      </c>
      <c r="D40" s="29">
        <v>113381000</v>
      </c>
      <c r="E40">
        <f>D40/C40</f>
        <v>8098642.8571428573</v>
      </c>
      <c r="F40" s="104" t="s">
        <v>275</v>
      </c>
      <c r="G40" s="105">
        <v>0</v>
      </c>
    </row>
    <row r="41" spans="2:7" x14ac:dyDescent="0.2">
      <c r="B41" s="10" t="s">
        <v>174</v>
      </c>
      <c r="C41" s="11">
        <v>15</v>
      </c>
      <c r="D41" s="32">
        <v>138924000</v>
      </c>
      <c r="E41">
        <f>D41/C41</f>
        <v>9261600</v>
      </c>
      <c r="F41" s="52" t="s">
        <v>203</v>
      </c>
      <c r="G41" s="103">
        <v>12250714.285714285</v>
      </c>
    </row>
    <row r="42" spans="2:7" x14ac:dyDescent="0.2">
      <c r="B42" s="7" t="s">
        <v>275</v>
      </c>
      <c r="C42" s="8">
        <v>19</v>
      </c>
      <c r="D42" s="29">
        <v>0</v>
      </c>
      <c r="E42">
        <f>D42/C42</f>
        <v>0</v>
      </c>
      <c r="F42" s="50" t="s">
        <v>215</v>
      </c>
      <c r="G42" s="100">
        <v>8098642.8571428573</v>
      </c>
    </row>
    <row r="43" spans="2:7" x14ac:dyDescent="0.2">
      <c r="B43" s="10" t="s">
        <v>143</v>
      </c>
      <c r="C43" s="11">
        <v>22</v>
      </c>
      <c r="D43" s="32">
        <v>8521000</v>
      </c>
      <c r="E43">
        <f>D43/C43</f>
        <v>387318.18181818182</v>
      </c>
      <c r="F43" s="50" t="s">
        <v>174</v>
      </c>
      <c r="G43" s="100">
        <v>9261600</v>
      </c>
    </row>
    <row r="44" spans="2:7" x14ac:dyDescent="0.2">
      <c r="F44" s="50" t="s">
        <v>793</v>
      </c>
      <c r="G44" s="100">
        <v>52614873.150762282</v>
      </c>
    </row>
  </sheetData>
  <sortState xmlns:xlrd2="http://schemas.microsoft.com/office/spreadsheetml/2017/richdata2" ref="B7:K14">
    <sortCondition ref="K7:K14"/>
  </sortState>
  <mergeCells count="2">
    <mergeCell ref="B3:M3"/>
    <mergeCell ref="B2:M2"/>
  </mergeCells>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45"/>
  <sheetViews>
    <sheetView showGridLines="0" topLeftCell="A15" zoomScale="75" workbookViewId="0">
      <selection activeCell="M55" sqref="M55"/>
    </sheetView>
  </sheetViews>
  <sheetFormatPr baseColWidth="10" defaultColWidth="8.83203125" defaultRowHeight="15" x14ac:dyDescent="0.2"/>
  <cols>
    <col min="1" max="1" width="3" customWidth="1"/>
    <col min="2" max="2" width="16" customWidth="1"/>
    <col min="3" max="3" width="12" customWidth="1"/>
    <col min="4" max="5" width="18" customWidth="1"/>
    <col min="6" max="6" width="12.1640625" bestFit="1" customWidth="1"/>
    <col min="7" max="7" width="19.5" bestFit="1" customWidth="1"/>
    <col min="8" max="9" width="18" customWidth="1"/>
    <col min="10" max="10" width="14" customWidth="1"/>
    <col min="11" max="15" width="16" customWidth="1"/>
  </cols>
  <sheetData>
    <row r="2" spans="2:16" ht="38" customHeight="1" x14ac:dyDescent="0.2">
      <c r="B2" s="89" t="s">
        <v>695</v>
      </c>
      <c r="C2" s="87"/>
      <c r="D2" s="87"/>
      <c r="E2" s="87"/>
      <c r="F2" s="87"/>
      <c r="G2" s="87"/>
      <c r="H2" s="87"/>
      <c r="I2" s="87"/>
      <c r="J2" s="87"/>
      <c r="K2" s="87"/>
      <c r="L2" s="87"/>
      <c r="M2" s="87"/>
      <c r="N2" s="87"/>
      <c r="O2" s="87"/>
    </row>
    <row r="3" spans="2:16" ht="20" customHeight="1" x14ac:dyDescent="0.2">
      <c r="B3" s="90" t="s">
        <v>696</v>
      </c>
      <c r="C3" s="87"/>
      <c r="D3" s="87"/>
      <c r="E3" s="87"/>
      <c r="F3" s="87"/>
      <c r="G3" s="87"/>
      <c r="H3" s="87"/>
      <c r="I3" s="87"/>
      <c r="J3" s="87"/>
      <c r="K3" s="87"/>
      <c r="L3" s="87"/>
      <c r="M3" s="87"/>
      <c r="N3" s="87"/>
      <c r="O3" s="87"/>
    </row>
    <row r="4" spans="2:16" ht="5" customHeight="1" x14ac:dyDescent="0.2">
      <c r="B4" s="1"/>
      <c r="C4" s="1"/>
      <c r="D4" s="1"/>
      <c r="E4" s="1"/>
      <c r="F4" s="1"/>
      <c r="G4" s="1"/>
      <c r="H4" s="1"/>
      <c r="I4" s="1"/>
      <c r="J4" s="1"/>
      <c r="K4" s="1"/>
      <c r="L4" s="1"/>
      <c r="M4" s="1"/>
      <c r="N4" s="1"/>
      <c r="O4" s="1"/>
      <c r="P4" s="1"/>
    </row>
    <row r="6" spans="2:16" ht="22" customHeight="1" x14ac:dyDescent="0.2">
      <c r="B6" s="92" t="s">
        <v>697</v>
      </c>
      <c r="C6" s="87"/>
      <c r="D6" s="87"/>
      <c r="E6" s="87"/>
      <c r="F6" s="87"/>
      <c r="G6" s="87"/>
      <c r="H6" s="87"/>
      <c r="I6" s="87"/>
      <c r="J6" s="87"/>
      <c r="K6" s="87"/>
      <c r="L6" s="87"/>
      <c r="M6" s="87"/>
      <c r="N6" s="87"/>
      <c r="O6" s="87"/>
    </row>
    <row r="7" spans="2:16" ht="22" customHeight="1" x14ac:dyDescent="0.2">
      <c r="B7" s="23" t="s">
        <v>698</v>
      </c>
      <c r="C7" s="24">
        <v>850000000</v>
      </c>
    </row>
    <row r="8" spans="2:16" ht="22" customHeight="1" x14ac:dyDescent="0.2">
      <c r="B8" s="23" t="s">
        <v>699</v>
      </c>
      <c r="C8" s="25">
        <v>0.85</v>
      </c>
    </row>
    <row r="9" spans="2:16" ht="22" customHeight="1" x14ac:dyDescent="0.2">
      <c r="B9" s="23" t="s">
        <v>700</v>
      </c>
      <c r="C9" s="26">
        <v>1.1000000000000001</v>
      </c>
    </row>
    <row r="10" spans="2:16" ht="22" customHeight="1" x14ac:dyDescent="0.2">
      <c r="B10" s="23" t="s">
        <v>701</v>
      </c>
      <c r="C10" s="27">
        <v>75</v>
      </c>
    </row>
    <row r="13" spans="2:16" ht="22" customHeight="1" x14ac:dyDescent="0.2">
      <c r="B13" s="92" t="s">
        <v>702</v>
      </c>
      <c r="C13" s="87"/>
      <c r="D13" s="87"/>
      <c r="E13" s="87"/>
      <c r="F13" s="87"/>
      <c r="G13" s="87"/>
      <c r="H13" s="87"/>
      <c r="I13" s="87"/>
      <c r="J13" s="87"/>
      <c r="K13" s="87"/>
      <c r="L13" s="87"/>
      <c r="M13" s="87"/>
      <c r="N13" s="87"/>
      <c r="O13" s="87"/>
    </row>
    <row r="14" spans="2:16" ht="28" customHeight="1" x14ac:dyDescent="0.2">
      <c r="B14" s="28" t="s">
        <v>114</v>
      </c>
      <c r="C14" s="28" t="s">
        <v>703</v>
      </c>
      <c r="D14" s="28" t="s">
        <v>704</v>
      </c>
      <c r="E14" s="28" t="s">
        <v>111</v>
      </c>
      <c r="F14" s="28" t="s">
        <v>705</v>
      </c>
      <c r="G14" s="28" t="s">
        <v>706</v>
      </c>
      <c r="H14" s="28" t="s">
        <v>707</v>
      </c>
      <c r="I14" s="28" t="s">
        <v>708</v>
      </c>
      <c r="J14" s="56" t="s">
        <v>709</v>
      </c>
      <c r="K14" s="61"/>
      <c r="L14" s="57"/>
    </row>
    <row r="15" spans="2:16" ht="22" customHeight="1" x14ac:dyDescent="0.2">
      <c r="B15" s="8" t="s">
        <v>132</v>
      </c>
      <c r="C15" s="8">
        <v>36</v>
      </c>
      <c r="D15" s="29">
        <v>1217750000</v>
      </c>
      <c r="E15" s="29">
        <v>343521000</v>
      </c>
      <c r="F15" s="29">
        <v>75434000</v>
      </c>
      <c r="G15" s="29">
        <v>68741000</v>
      </c>
      <c r="H15" s="29">
        <v>367427000</v>
      </c>
      <c r="I15" s="30">
        <v>154927000</v>
      </c>
      <c r="J15" s="58">
        <v>1.729068235294118</v>
      </c>
      <c r="K15" s="62"/>
    </row>
    <row r="16" spans="2:16" ht="22" customHeight="1" x14ac:dyDescent="0.2">
      <c r="B16" s="11" t="s">
        <v>144</v>
      </c>
      <c r="C16" s="11">
        <v>38</v>
      </c>
      <c r="D16" s="32">
        <v>1427394000</v>
      </c>
      <c r="E16" s="32">
        <v>439114000</v>
      </c>
      <c r="F16" s="32">
        <v>236406000</v>
      </c>
      <c r="G16" s="32">
        <v>168280000</v>
      </c>
      <c r="H16" s="32">
        <v>609653000</v>
      </c>
      <c r="I16" s="33">
        <v>397153000</v>
      </c>
      <c r="J16" s="59">
        <v>2.8689552941176468</v>
      </c>
      <c r="K16" s="62"/>
    </row>
    <row r="17" spans="2:15" ht="22" customHeight="1" x14ac:dyDescent="0.2">
      <c r="B17" s="8" t="s">
        <v>195</v>
      </c>
      <c r="C17" s="8">
        <v>38</v>
      </c>
      <c r="D17" s="29">
        <v>1325295000</v>
      </c>
      <c r="E17" s="29">
        <v>375858000</v>
      </c>
      <c r="F17" s="29">
        <v>262468000</v>
      </c>
      <c r="G17" s="29">
        <v>34506000</v>
      </c>
      <c r="H17" s="29">
        <v>581947000</v>
      </c>
      <c r="I17" s="30">
        <v>369447000</v>
      </c>
      <c r="J17" s="58">
        <v>2.738574117647059</v>
      </c>
      <c r="K17" s="62"/>
    </row>
    <row r="18" spans="2:15" ht="22" customHeight="1" x14ac:dyDescent="0.2">
      <c r="B18" s="11" t="s">
        <v>183</v>
      </c>
      <c r="C18" s="11">
        <v>38</v>
      </c>
      <c r="D18" s="32">
        <v>1310780000</v>
      </c>
      <c r="E18" s="32">
        <v>365870000</v>
      </c>
      <c r="F18" s="32">
        <v>355136000</v>
      </c>
      <c r="G18" s="32">
        <v>269328000</v>
      </c>
      <c r="H18" s="32">
        <v>666126000</v>
      </c>
      <c r="I18" s="33">
        <v>453626000</v>
      </c>
      <c r="J18" s="59">
        <v>3.1347105882352939</v>
      </c>
      <c r="K18" s="62"/>
    </row>
    <row r="19" spans="2:15" ht="24" customHeight="1" x14ac:dyDescent="0.2">
      <c r="B19" s="5" t="s">
        <v>710</v>
      </c>
      <c r="C19" s="5">
        <f t="shared" ref="C19:I19" si="0">SUM(C15:C18)</f>
        <v>150</v>
      </c>
      <c r="D19" s="35">
        <f t="shared" si="0"/>
        <v>5281219000</v>
      </c>
      <c r="E19" s="35">
        <f t="shared" si="0"/>
        <v>1524363000</v>
      </c>
      <c r="F19" s="35">
        <f t="shared" si="0"/>
        <v>929444000</v>
      </c>
      <c r="G19" s="35">
        <f t="shared" si="0"/>
        <v>540855000</v>
      </c>
      <c r="H19" s="35">
        <f t="shared" si="0"/>
        <v>2225153000</v>
      </c>
      <c r="I19" s="35">
        <f t="shared" si="0"/>
        <v>1375153000</v>
      </c>
      <c r="J19" s="60">
        <f>AVERAGE(J15:J18)</f>
        <v>2.6178270588235293</v>
      </c>
    </row>
    <row r="22" spans="2:15" ht="22" customHeight="1" x14ac:dyDescent="0.2">
      <c r="B22" s="92" t="s">
        <v>711</v>
      </c>
      <c r="C22" s="87"/>
      <c r="D22" s="87"/>
      <c r="E22" s="87"/>
      <c r="F22" s="87"/>
      <c r="G22" s="87"/>
      <c r="H22" s="87"/>
      <c r="I22" s="87"/>
      <c r="J22" s="87"/>
      <c r="K22" s="87"/>
      <c r="L22" s="87"/>
      <c r="M22" s="87"/>
      <c r="N22" s="87"/>
      <c r="O22" s="87"/>
    </row>
    <row r="23" spans="2:15" x14ac:dyDescent="0.2">
      <c r="B23" s="28" t="s">
        <v>108</v>
      </c>
      <c r="C23" s="28" t="s">
        <v>712</v>
      </c>
      <c r="D23" s="28" t="s">
        <v>713</v>
      </c>
      <c r="E23" s="28" t="s">
        <v>111</v>
      </c>
      <c r="F23" s="28" t="s">
        <v>714</v>
      </c>
      <c r="G23" s="28" t="s">
        <v>715</v>
      </c>
      <c r="I23" s="57"/>
    </row>
    <row r="24" spans="2:15" ht="20" customHeight="1" x14ac:dyDescent="0.2">
      <c r="B24" s="12" t="s">
        <v>202</v>
      </c>
      <c r="C24" s="13">
        <v>24</v>
      </c>
      <c r="D24" s="36">
        <v>933102000</v>
      </c>
      <c r="E24" s="36">
        <v>46656000</v>
      </c>
      <c r="F24" s="36">
        <v>38879250</v>
      </c>
      <c r="G24" s="37">
        <v>0.13820625228281999</v>
      </c>
    </row>
    <row r="25" spans="2:15" ht="20" customHeight="1" x14ac:dyDescent="0.2">
      <c r="B25" s="15" t="s">
        <v>182</v>
      </c>
      <c r="C25" s="16">
        <v>24</v>
      </c>
      <c r="D25" s="38">
        <v>1133093000</v>
      </c>
      <c r="E25" s="38">
        <v>169967000</v>
      </c>
      <c r="F25" s="38">
        <v>47212208.333333343</v>
      </c>
      <c r="G25" s="39">
        <v>0.16782788700259699</v>
      </c>
    </row>
    <row r="26" spans="2:15" ht="20" customHeight="1" x14ac:dyDescent="0.2">
      <c r="B26" s="12" t="s">
        <v>129</v>
      </c>
      <c r="C26" s="13">
        <v>41</v>
      </c>
      <c r="D26" s="36">
        <v>1739379000</v>
      </c>
      <c r="E26" s="36">
        <v>608785000</v>
      </c>
      <c r="F26" s="36">
        <v>42423878.048780493</v>
      </c>
      <c r="G26" s="37">
        <v>0.25762784013906198</v>
      </c>
    </row>
    <row r="27" spans="2:15" ht="20" customHeight="1" x14ac:dyDescent="0.2">
      <c r="B27" s="15" t="s">
        <v>243</v>
      </c>
      <c r="C27" s="16">
        <v>22</v>
      </c>
      <c r="D27" s="38">
        <v>1102782000</v>
      </c>
      <c r="E27" s="38">
        <v>661669000</v>
      </c>
      <c r="F27" s="38">
        <v>50126454.545454547</v>
      </c>
      <c r="G27" s="39">
        <v>0.1633383781247417</v>
      </c>
    </row>
    <row r="28" spans="2:15" ht="20" customHeight="1" x14ac:dyDescent="0.2">
      <c r="B28" s="12" t="s">
        <v>154</v>
      </c>
      <c r="C28" s="13">
        <v>19</v>
      </c>
      <c r="D28" s="36">
        <v>929444000</v>
      </c>
      <c r="E28" s="36">
        <v>929444000</v>
      </c>
      <c r="F28" s="36">
        <v>48918105.263157897</v>
      </c>
      <c r="G28" s="37">
        <v>0.13766444820261159</v>
      </c>
    </row>
    <row r="29" spans="2:15" ht="20" customHeight="1" x14ac:dyDescent="0.2">
      <c r="B29" s="15" t="s">
        <v>214</v>
      </c>
      <c r="C29" s="16">
        <v>12</v>
      </c>
      <c r="D29" s="38">
        <v>540855000</v>
      </c>
      <c r="E29" s="38">
        <v>0</v>
      </c>
      <c r="F29" s="38">
        <v>45071250</v>
      </c>
      <c r="G29" s="39">
        <v>8.0108651121125654E-2</v>
      </c>
    </row>
    <row r="30" spans="2:15" ht="20" customHeight="1" x14ac:dyDescent="0.2">
      <c r="B30" s="12" t="s">
        <v>193</v>
      </c>
      <c r="C30" s="13">
        <v>8</v>
      </c>
      <c r="D30" s="36">
        <v>372863000</v>
      </c>
      <c r="E30" s="36">
        <v>37286000</v>
      </c>
      <c r="F30" s="36">
        <v>46607875</v>
      </c>
      <c r="G30" s="37">
        <v>5.5226543127041949E-2</v>
      </c>
    </row>
    <row r="37" spans="6:7" x14ac:dyDescent="0.2">
      <c r="F37" s="51" t="s">
        <v>795</v>
      </c>
      <c r="G37" t="s">
        <v>848</v>
      </c>
    </row>
    <row r="38" spans="6:7" x14ac:dyDescent="0.2">
      <c r="F38" s="50" t="s">
        <v>214</v>
      </c>
      <c r="G38" s="100">
        <v>45071250</v>
      </c>
    </row>
    <row r="39" spans="6:7" x14ac:dyDescent="0.2">
      <c r="F39" s="50" t="s">
        <v>154</v>
      </c>
      <c r="G39" s="100">
        <v>48918105.263157897</v>
      </c>
    </row>
    <row r="40" spans="6:7" x14ac:dyDescent="0.2">
      <c r="F40" s="50" t="s">
        <v>243</v>
      </c>
      <c r="G40" s="100">
        <v>50126454.545454547</v>
      </c>
    </row>
    <row r="41" spans="6:7" x14ac:dyDescent="0.2">
      <c r="F41" s="50" t="s">
        <v>193</v>
      </c>
      <c r="G41" s="100">
        <v>46607875</v>
      </c>
    </row>
    <row r="42" spans="6:7" x14ac:dyDescent="0.2">
      <c r="F42" s="50" t="s">
        <v>129</v>
      </c>
      <c r="G42" s="100">
        <v>42423878.048780493</v>
      </c>
    </row>
    <row r="43" spans="6:7" x14ac:dyDescent="0.2">
      <c r="F43" s="50" t="s">
        <v>202</v>
      </c>
      <c r="G43" s="100">
        <v>38879250</v>
      </c>
    </row>
    <row r="44" spans="6:7" x14ac:dyDescent="0.2">
      <c r="F44" s="50" t="s">
        <v>182</v>
      </c>
      <c r="G44" s="100">
        <v>47212208.333333343</v>
      </c>
    </row>
    <row r="45" spans="6:7" x14ac:dyDescent="0.2">
      <c r="F45" s="50" t="s">
        <v>793</v>
      </c>
      <c r="G45" s="100">
        <v>319239021.19072628</v>
      </c>
    </row>
  </sheetData>
  <mergeCells count="5">
    <mergeCell ref="B13:O13"/>
    <mergeCell ref="B6:O6"/>
    <mergeCell ref="B2:O2"/>
    <mergeCell ref="B3:O3"/>
    <mergeCell ref="B22:O22"/>
  </mergeCells>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51"/>
  <sheetViews>
    <sheetView showGridLines="0" topLeftCell="A82" zoomScale="59" workbookViewId="0">
      <selection activeCell="R113" sqref="R113"/>
    </sheetView>
  </sheetViews>
  <sheetFormatPr baseColWidth="10" defaultColWidth="8.83203125" defaultRowHeight="17" customHeight="1" x14ac:dyDescent="0.2"/>
  <cols>
    <col min="1" max="1" width="3" customWidth="1"/>
    <col min="2" max="2" width="16.83203125" bestFit="1" customWidth="1"/>
    <col min="3" max="4" width="17.83203125" bestFit="1" customWidth="1"/>
    <col min="5" max="5" width="18" customWidth="1"/>
    <col min="6" max="6" width="12" customWidth="1"/>
    <col min="7" max="9" width="13" customWidth="1"/>
    <col min="10" max="10" width="16" customWidth="1"/>
    <col min="11" max="11" width="8" customWidth="1"/>
    <col min="12" max="12" width="15.6640625" bestFit="1" customWidth="1"/>
    <col min="13" max="13" width="18" bestFit="1" customWidth="1"/>
    <col min="14" max="14" width="16.83203125" bestFit="1" customWidth="1"/>
    <col min="15" max="19" width="13" customWidth="1"/>
    <col min="33" max="33" width="8.83203125" style="64"/>
    <col min="34" max="34" width="20" customWidth="1"/>
    <col min="35" max="35" width="16" customWidth="1"/>
    <col min="37" max="37" width="15.6640625" bestFit="1" customWidth="1"/>
    <col min="38" max="38" width="20.5" bestFit="1" customWidth="1"/>
    <col min="39" max="39" width="8.83203125" customWidth="1"/>
    <col min="40" max="41" width="16" customWidth="1"/>
    <col min="43" max="43" width="12.6640625" bestFit="1" customWidth="1"/>
    <col min="44" max="44" width="18" bestFit="1" customWidth="1"/>
    <col min="45" max="45" width="16" customWidth="1"/>
    <col min="46" max="46" width="18" customWidth="1"/>
    <col min="47" max="47" width="16" customWidth="1"/>
    <col min="48" max="48" width="17.83203125" bestFit="1" customWidth="1"/>
    <col min="49" max="49" width="26.1640625" bestFit="1" customWidth="1"/>
    <col min="50" max="50" width="16" customWidth="1"/>
    <col min="51" max="51" width="18" customWidth="1"/>
    <col min="52" max="52" width="16" customWidth="1"/>
    <col min="53" max="53" width="12.6640625" bestFit="1" customWidth="1"/>
    <col min="54" max="54" width="21.33203125" bestFit="1" customWidth="1"/>
  </cols>
  <sheetData>
    <row r="1" spans="2:54" ht="17" customHeight="1" x14ac:dyDescent="0.2">
      <c r="AH1" s="5" t="s">
        <v>107</v>
      </c>
      <c r="AI1" s="5" t="s">
        <v>110</v>
      </c>
      <c r="AK1" s="51" t="s">
        <v>795</v>
      </c>
      <c r="AL1" t="s">
        <v>808</v>
      </c>
      <c r="AN1" s="5" t="s">
        <v>105</v>
      </c>
      <c r="AO1" s="5" t="s">
        <v>110</v>
      </c>
      <c r="AS1" s="5" t="s">
        <v>110</v>
      </c>
      <c r="AT1" s="5" t="s">
        <v>113</v>
      </c>
      <c r="AU1" s="77"/>
      <c r="AX1" s="5" t="s">
        <v>110</v>
      </c>
      <c r="AY1" s="5" t="s">
        <v>113</v>
      </c>
      <c r="AZ1" s="5" t="s">
        <v>105</v>
      </c>
      <c r="BA1" s="51" t="s">
        <v>113</v>
      </c>
      <c r="BB1" t="s">
        <v>846</v>
      </c>
    </row>
    <row r="2" spans="2:54" ht="17" customHeight="1" x14ac:dyDescent="0.2">
      <c r="B2" s="89" t="s">
        <v>722</v>
      </c>
      <c r="C2" s="87"/>
      <c r="D2" s="87"/>
      <c r="E2" s="87"/>
      <c r="F2" s="87"/>
      <c r="G2" s="87"/>
      <c r="H2" s="87"/>
      <c r="I2" s="87"/>
      <c r="J2" s="87"/>
      <c r="K2" s="87"/>
      <c r="L2" s="87"/>
      <c r="M2" s="87"/>
      <c r="N2" s="87"/>
      <c r="O2" s="87"/>
      <c r="P2" s="87"/>
      <c r="Q2" s="87"/>
      <c r="R2" s="87"/>
      <c r="AH2" s="10" t="s">
        <v>280</v>
      </c>
      <c r="AI2" s="21">
        <v>84112000</v>
      </c>
      <c r="AK2" s="50" t="s">
        <v>797</v>
      </c>
      <c r="AN2" s="7" t="s">
        <v>126</v>
      </c>
      <c r="AO2" s="18">
        <v>47642000</v>
      </c>
      <c r="AQ2" s="51" t="s">
        <v>795</v>
      </c>
      <c r="AR2" t="s">
        <v>807</v>
      </c>
      <c r="AS2" s="18">
        <v>47642000</v>
      </c>
      <c r="AT2" s="7" t="s">
        <v>131</v>
      </c>
      <c r="AU2" s="78"/>
      <c r="AV2" s="51" t="s">
        <v>795</v>
      </c>
      <c r="AW2" t="s">
        <v>808</v>
      </c>
      <c r="AX2" s="18">
        <v>47642000</v>
      </c>
      <c r="AY2" s="7" t="s">
        <v>131</v>
      </c>
      <c r="AZ2" s="7" t="s">
        <v>126</v>
      </c>
    </row>
    <row r="3" spans="2:54" ht="17" customHeight="1" x14ac:dyDescent="0.2">
      <c r="B3" s="90" t="s">
        <v>723</v>
      </c>
      <c r="C3" s="87"/>
      <c r="D3" s="87"/>
      <c r="E3" s="87"/>
      <c r="F3" s="87"/>
      <c r="G3" s="87"/>
      <c r="H3" s="87"/>
      <c r="I3" s="87"/>
      <c r="J3" s="87"/>
      <c r="K3" s="87"/>
      <c r="L3" s="87"/>
      <c r="M3" s="87"/>
      <c r="N3" s="87"/>
      <c r="O3" s="87"/>
      <c r="P3" s="87"/>
      <c r="Q3" s="87"/>
      <c r="R3" s="87"/>
      <c r="AH3" s="7" t="s">
        <v>181</v>
      </c>
      <c r="AI3" s="18">
        <v>83697000</v>
      </c>
      <c r="AK3" s="50" t="s">
        <v>164</v>
      </c>
      <c r="AL3">
        <v>35013947.368421055</v>
      </c>
      <c r="AN3" s="10" t="s">
        <v>141</v>
      </c>
      <c r="AO3" s="21">
        <v>22500000</v>
      </c>
      <c r="AQ3" s="50" t="s">
        <v>268</v>
      </c>
      <c r="AR3">
        <v>935341000</v>
      </c>
      <c r="AS3" s="21">
        <v>22500000</v>
      </c>
      <c r="AT3" s="10" t="s">
        <v>131</v>
      </c>
      <c r="AU3" s="78"/>
      <c r="AV3" s="50" t="s">
        <v>221</v>
      </c>
      <c r="AW3">
        <v>48983687.5</v>
      </c>
      <c r="AX3" s="21">
        <v>22500000</v>
      </c>
      <c r="AY3" s="10" t="s">
        <v>131</v>
      </c>
      <c r="AZ3" s="10" t="s">
        <v>141</v>
      </c>
      <c r="BA3" s="51" t="s">
        <v>795</v>
      </c>
      <c r="BB3" t="s">
        <v>808</v>
      </c>
    </row>
    <row r="4" spans="2:54" ht="17" customHeight="1" x14ac:dyDescent="0.2">
      <c r="B4" s="1"/>
      <c r="C4" s="1"/>
      <c r="D4" s="1"/>
      <c r="E4" s="1"/>
      <c r="F4" s="1"/>
      <c r="G4" s="1"/>
      <c r="H4" s="1"/>
      <c r="I4" s="1"/>
      <c r="J4" s="1"/>
      <c r="K4" s="1"/>
      <c r="L4" s="1"/>
      <c r="M4" s="1"/>
      <c r="N4" s="1"/>
      <c r="O4" s="1"/>
      <c r="P4" s="1"/>
      <c r="AH4" s="7" t="s">
        <v>181</v>
      </c>
      <c r="AI4" s="18">
        <v>81723000</v>
      </c>
      <c r="AK4" s="50" t="s">
        <v>153</v>
      </c>
      <c r="AL4">
        <v>36183111.111111112</v>
      </c>
      <c r="AN4" s="7" t="s">
        <v>141</v>
      </c>
      <c r="AO4" s="18">
        <v>8521000</v>
      </c>
      <c r="AQ4" s="50" t="s">
        <v>233</v>
      </c>
      <c r="AR4">
        <v>237921000</v>
      </c>
      <c r="AS4" s="18">
        <v>8521000</v>
      </c>
      <c r="AT4" s="7" t="s">
        <v>155</v>
      </c>
      <c r="AU4" s="78"/>
      <c r="AV4" s="50" t="s">
        <v>131</v>
      </c>
      <c r="AW4">
        <v>42117574.468085103</v>
      </c>
      <c r="AX4" s="18">
        <v>8521000</v>
      </c>
      <c r="AY4" s="7" t="s">
        <v>155</v>
      </c>
      <c r="AZ4" s="7" t="s">
        <v>141</v>
      </c>
      <c r="BA4" s="50" t="s">
        <v>268</v>
      </c>
      <c r="BB4">
        <v>44540047.619047619</v>
      </c>
    </row>
    <row r="5" spans="2:54" ht="17" customHeight="1" x14ac:dyDescent="0.2">
      <c r="AH5" s="10" t="s">
        <v>181</v>
      </c>
      <c r="AI5" s="21">
        <v>80717000</v>
      </c>
      <c r="AK5" s="50" t="s">
        <v>142</v>
      </c>
      <c r="AL5">
        <v>41413058.823529415</v>
      </c>
      <c r="AN5" s="10" t="s">
        <v>163</v>
      </c>
      <c r="AO5" s="21">
        <v>12190000</v>
      </c>
      <c r="AQ5" s="50" t="s">
        <v>141</v>
      </c>
      <c r="AR5">
        <v>2784899000</v>
      </c>
      <c r="AS5" s="21">
        <v>12190000</v>
      </c>
      <c r="AT5" s="10" t="s">
        <v>131</v>
      </c>
      <c r="AU5" s="78"/>
      <c r="AV5" s="50" t="s">
        <v>155</v>
      </c>
      <c r="AW5">
        <v>48502642.857142858</v>
      </c>
      <c r="AX5" s="21">
        <v>12190000</v>
      </c>
      <c r="AY5" s="10" t="s">
        <v>131</v>
      </c>
      <c r="AZ5" s="10" t="s">
        <v>163</v>
      </c>
      <c r="BA5" s="50" t="s">
        <v>233</v>
      </c>
      <c r="BB5">
        <v>33988714.285714284</v>
      </c>
    </row>
    <row r="6" spans="2:54" ht="17" customHeight="1" x14ac:dyDescent="0.2">
      <c r="B6" s="97" t="s">
        <v>724</v>
      </c>
      <c r="C6" s="87"/>
      <c r="D6" s="87"/>
      <c r="E6" s="97" t="s">
        <v>725</v>
      </c>
      <c r="F6" s="87"/>
      <c r="G6" s="87"/>
      <c r="H6" s="97" t="s">
        <v>726</v>
      </c>
      <c r="I6" s="87"/>
      <c r="J6" s="87"/>
      <c r="K6" s="97" t="s">
        <v>727</v>
      </c>
      <c r="L6" s="87"/>
      <c r="M6" s="87"/>
      <c r="N6" s="97" t="s">
        <v>728</v>
      </c>
      <c r="O6" s="87"/>
      <c r="P6" s="87"/>
      <c r="Q6" s="97" t="s">
        <v>729</v>
      </c>
      <c r="R6" s="87"/>
      <c r="S6" s="87"/>
      <c r="AH6" s="7" t="s">
        <v>192</v>
      </c>
      <c r="AI6" s="18">
        <v>80692000</v>
      </c>
      <c r="AK6" s="50" t="s">
        <v>128</v>
      </c>
      <c r="AL6">
        <v>46401409.090909094</v>
      </c>
      <c r="AN6" s="7" t="s">
        <v>126</v>
      </c>
      <c r="AO6" s="18">
        <v>55807000</v>
      </c>
      <c r="AQ6" s="50" t="s">
        <v>126</v>
      </c>
      <c r="AR6">
        <v>1216749000</v>
      </c>
      <c r="AS6" s="18">
        <v>55807000</v>
      </c>
      <c r="AT6" s="7" t="s">
        <v>131</v>
      </c>
      <c r="AU6" s="78"/>
      <c r="AV6" s="50" t="s">
        <v>309</v>
      </c>
      <c r="AW6">
        <v>52730875</v>
      </c>
      <c r="AX6" s="18">
        <v>55807000</v>
      </c>
      <c r="AY6" s="7" t="s">
        <v>131</v>
      </c>
      <c r="AZ6" s="7" t="s">
        <v>126</v>
      </c>
      <c r="BA6" s="50" t="s">
        <v>141</v>
      </c>
      <c r="BB6">
        <v>47201677.966101699</v>
      </c>
    </row>
    <row r="7" spans="2:54" ht="17" customHeight="1" x14ac:dyDescent="0.2">
      <c r="B7" s="96" t="s">
        <v>730</v>
      </c>
      <c r="C7" s="87"/>
      <c r="D7" s="87"/>
      <c r="E7" s="96" t="s">
        <v>731</v>
      </c>
      <c r="F7" s="87"/>
      <c r="G7" s="87"/>
      <c r="H7" s="96" t="s">
        <v>732</v>
      </c>
      <c r="I7" s="87"/>
      <c r="J7" s="87"/>
      <c r="K7" s="96" t="s">
        <v>733</v>
      </c>
      <c r="L7" s="87"/>
      <c r="M7" s="87"/>
      <c r="N7" s="96" t="s">
        <v>734</v>
      </c>
      <c r="O7" s="87"/>
      <c r="P7" s="87"/>
      <c r="Q7" s="96" t="s">
        <v>735</v>
      </c>
      <c r="R7" s="87"/>
      <c r="S7" s="87"/>
      <c r="AH7" s="10" t="s">
        <v>181</v>
      </c>
      <c r="AI7" s="21">
        <v>80444000</v>
      </c>
      <c r="AK7" s="50" t="s">
        <v>280</v>
      </c>
      <c r="AL7">
        <v>46937818.18181818</v>
      </c>
      <c r="AN7" s="10" t="s">
        <v>141</v>
      </c>
      <c r="AO7" s="21">
        <v>56824000</v>
      </c>
      <c r="AQ7" s="50" t="s">
        <v>163</v>
      </c>
      <c r="AR7">
        <v>1576608000</v>
      </c>
      <c r="AS7" s="21">
        <v>56824000</v>
      </c>
      <c r="AT7" s="10" t="s">
        <v>131</v>
      </c>
      <c r="AU7" s="78"/>
      <c r="AV7" s="50" t="s">
        <v>204</v>
      </c>
      <c r="AW7">
        <v>45216888.888888888</v>
      </c>
      <c r="AX7" s="21">
        <v>56824000</v>
      </c>
      <c r="AY7" s="10" t="s">
        <v>131</v>
      </c>
      <c r="AZ7" s="10" t="s">
        <v>141</v>
      </c>
      <c r="BA7" s="50" t="s">
        <v>126</v>
      </c>
      <c r="BB7">
        <v>50697875</v>
      </c>
    </row>
    <row r="8" spans="2:54" ht="17" customHeight="1" x14ac:dyDescent="0.2">
      <c r="B8" s="95" t="s">
        <v>736</v>
      </c>
      <c r="C8" s="87"/>
      <c r="D8" s="87"/>
      <c r="E8" s="95" t="s">
        <v>737</v>
      </c>
      <c r="F8" s="87"/>
      <c r="G8" s="87"/>
      <c r="H8" s="95" t="s">
        <v>738</v>
      </c>
      <c r="I8" s="87"/>
      <c r="J8" s="87"/>
      <c r="K8" s="95" t="s">
        <v>739</v>
      </c>
      <c r="L8" s="87"/>
      <c r="M8" s="87"/>
      <c r="N8" s="95" t="s">
        <v>740</v>
      </c>
      <c r="O8" s="87"/>
      <c r="P8" s="87"/>
      <c r="Q8" s="95" t="s">
        <v>741</v>
      </c>
      <c r="R8" s="87"/>
      <c r="S8" s="87"/>
      <c r="AH8" s="7" t="s">
        <v>213</v>
      </c>
      <c r="AI8" s="18">
        <v>80211000</v>
      </c>
      <c r="AK8" s="50" t="s">
        <v>213</v>
      </c>
      <c r="AL8">
        <v>47732714.285714284</v>
      </c>
      <c r="AN8" s="7" t="s">
        <v>141</v>
      </c>
      <c r="AO8" s="18">
        <v>49219000</v>
      </c>
      <c r="AQ8" s="50" t="s">
        <v>797</v>
      </c>
      <c r="AS8" s="18">
        <v>49219000</v>
      </c>
      <c r="AT8" s="7" t="s">
        <v>194</v>
      </c>
      <c r="AU8" s="78"/>
      <c r="AV8" s="50" t="s">
        <v>194</v>
      </c>
      <c r="AW8">
        <v>43855605.263157897</v>
      </c>
      <c r="AX8" s="18">
        <v>49219000</v>
      </c>
      <c r="AY8" s="7" t="s">
        <v>194</v>
      </c>
      <c r="AZ8" s="7" t="s">
        <v>141</v>
      </c>
      <c r="BA8" s="50" t="s">
        <v>163</v>
      </c>
      <c r="BB8">
        <v>40425846.153846152</v>
      </c>
    </row>
    <row r="9" spans="2:54" ht="17" customHeight="1" x14ac:dyDescent="0.2">
      <c r="AH9" s="7" t="s">
        <v>142</v>
      </c>
      <c r="AI9" s="18">
        <v>79719000</v>
      </c>
      <c r="AK9" s="50" t="s">
        <v>192</v>
      </c>
      <c r="AL9">
        <v>51952750</v>
      </c>
      <c r="AN9" s="10" t="s">
        <v>163</v>
      </c>
      <c r="AO9" s="21">
        <v>12442000</v>
      </c>
      <c r="AQ9" s="50" t="s">
        <v>793</v>
      </c>
      <c r="AR9">
        <v>6751518000</v>
      </c>
      <c r="AS9" s="21">
        <v>12442000</v>
      </c>
      <c r="AT9" s="10" t="s">
        <v>204</v>
      </c>
      <c r="AU9" s="78"/>
      <c r="AV9" s="50" t="s">
        <v>797</v>
      </c>
      <c r="AX9" s="21">
        <v>12442000</v>
      </c>
      <c r="AY9" s="10" t="s">
        <v>204</v>
      </c>
      <c r="AZ9" s="10" t="s">
        <v>163</v>
      </c>
      <c r="BA9" s="50" t="s">
        <v>797</v>
      </c>
    </row>
    <row r="10" spans="2:54" ht="17" customHeight="1" x14ac:dyDescent="0.2">
      <c r="AH10" s="7" t="s">
        <v>181</v>
      </c>
      <c r="AI10" s="18">
        <v>78781000</v>
      </c>
      <c r="AK10" s="50" t="s">
        <v>181</v>
      </c>
      <c r="AL10">
        <v>53544090.909090906</v>
      </c>
      <c r="AN10" s="7" t="s">
        <v>163</v>
      </c>
      <c r="AO10" s="18">
        <v>55421000</v>
      </c>
      <c r="AS10" s="18">
        <v>55421000</v>
      </c>
      <c r="AT10" s="7" t="s">
        <v>131</v>
      </c>
      <c r="AU10" s="78"/>
      <c r="AV10" s="50" t="s">
        <v>793</v>
      </c>
      <c r="AW10">
        <v>45010120</v>
      </c>
      <c r="AX10" s="18">
        <v>55421000</v>
      </c>
      <c r="AY10" s="7" t="s">
        <v>131</v>
      </c>
      <c r="AZ10" s="7" t="s">
        <v>163</v>
      </c>
      <c r="BA10" s="50" t="s">
        <v>793</v>
      </c>
      <c r="BB10">
        <v>45010120</v>
      </c>
    </row>
    <row r="11" spans="2:54" ht="17" customHeight="1" x14ac:dyDescent="0.2">
      <c r="B11" s="92" t="s">
        <v>742</v>
      </c>
      <c r="C11" s="87"/>
      <c r="D11" s="87"/>
      <c r="E11" s="87"/>
      <c r="F11" s="87"/>
      <c r="G11" s="87"/>
      <c r="H11" s="87"/>
      <c r="J11" s="92" t="s">
        <v>743</v>
      </c>
      <c r="K11" s="87"/>
      <c r="L11" s="87"/>
      <c r="M11" s="87"/>
      <c r="N11" s="87"/>
      <c r="O11" s="87"/>
      <c r="AH11" s="7" t="s">
        <v>164</v>
      </c>
      <c r="AI11" s="18">
        <v>78714000</v>
      </c>
      <c r="AK11" s="50" t="s">
        <v>793</v>
      </c>
      <c r="AL11">
        <v>45010120</v>
      </c>
      <c r="AN11" s="7" t="s">
        <v>163</v>
      </c>
      <c r="AO11" s="18">
        <v>81723000</v>
      </c>
      <c r="AS11" s="18">
        <v>81723000</v>
      </c>
      <c r="AT11" s="7" t="s">
        <v>204</v>
      </c>
      <c r="AU11" s="78"/>
      <c r="AX11" s="18">
        <v>81723000</v>
      </c>
      <c r="AY11" s="7" t="s">
        <v>204</v>
      </c>
      <c r="AZ11" s="7" t="s">
        <v>163</v>
      </c>
    </row>
    <row r="12" spans="2:54" ht="17" customHeight="1" x14ac:dyDescent="0.2">
      <c r="B12" s="40" t="s">
        <v>108</v>
      </c>
      <c r="C12" s="40" t="s">
        <v>744</v>
      </c>
      <c r="D12" s="40" t="s">
        <v>713</v>
      </c>
      <c r="E12" s="40" t="s">
        <v>745</v>
      </c>
      <c r="F12" s="40" t="s">
        <v>746</v>
      </c>
      <c r="J12" s="40" t="s">
        <v>105</v>
      </c>
      <c r="K12" s="40" t="s">
        <v>744</v>
      </c>
      <c r="L12" s="40" t="s">
        <v>713</v>
      </c>
      <c r="M12" s="40" t="s">
        <v>747</v>
      </c>
      <c r="N12" s="40" t="s">
        <v>719</v>
      </c>
      <c r="AH12" s="7" t="s">
        <v>128</v>
      </c>
      <c r="AI12" s="18">
        <v>77407000</v>
      </c>
      <c r="AN12" s="7" t="s">
        <v>126</v>
      </c>
      <c r="AO12" s="18">
        <v>80692000</v>
      </c>
      <c r="AS12" s="18">
        <v>80692000</v>
      </c>
      <c r="AT12" s="7" t="s">
        <v>131</v>
      </c>
      <c r="AU12" s="78"/>
      <c r="AX12" s="18">
        <v>80692000</v>
      </c>
      <c r="AY12" s="7" t="s">
        <v>131</v>
      </c>
      <c r="AZ12" s="7" t="s">
        <v>126</v>
      </c>
    </row>
    <row r="13" spans="2:54" ht="17" customHeight="1" x14ac:dyDescent="0.2">
      <c r="B13" s="12" t="s">
        <v>202</v>
      </c>
      <c r="C13" s="13">
        <v>24</v>
      </c>
      <c r="D13" s="36">
        <v>933102000</v>
      </c>
      <c r="E13" s="36">
        <v>46656000</v>
      </c>
      <c r="F13" s="37">
        <v>0.13820625228281999</v>
      </c>
      <c r="J13" s="12" t="s">
        <v>141</v>
      </c>
      <c r="K13" s="13">
        <v>59</v>
      </c>
      <c r="L13" s="36">
        <v>2784899000</v>
      </c>
      <c r="M13" s="36">
        <v>47201677.966101699</v>
      </c>
      <c r="N13" s="37">
        <v>0.1186440677966102</v>
      </c>
      <c r="AH13" s="7" t="s">
        <v>192</v>
      </c>
      <c r="AI13" s="18">
        <v>76459000</v>
      </c>
      <c r="AN13" s="10" t="s">
        <v>233</v>
      </c>
      <c r="AO13" s="21">
        <v>38846000</v>
      </c>
      <c r="AS13" s="21">
        <v>38846000</v>
      </c>
      <c r="AT13" s="10" t="s">
        <v>131</v>
      </c>
      <c r="AU13" s="78"/>
      <c r="AX13" s="21">
        <v>38846000</v>
      </c>
      <c r="AY13" s="10" t="s">
        <v>131</v>
      </c>
      <c r="AZ13" s="10" t="s">
        <v>233</v>
      </c>
    </row>
    <row r="14" spans="2:54" ht="17" customHeight="1" x14ac:dyDescent="0.2">
      <c r="B14" s="15" t="s">
        <v>182</v>
      </c>
      <c r="C14" s="16">
        <v>24</v>
      </c>
      <c r="D14" s="38">
        <v>1133093000</v>
      </c>
      <c r="E14" s="38">
        <v>169967000</v>
      </c>
      <c r="F14" s="39">
        <v>0.16782788700259699</v>
      </c>
      <c r="J14" s="15" t="s">
        <v>163</v>
      </c>
      <c r="K14" s="16">
        <v>39</v>
      </c>
      <c r="L14" s="38">
        <v>1576608000</v>
      </c>
      <c r="M14" s="38">
        <v>40425846.153846152</v>
      </c>
      <c r="N14" s="39">
        <v>0.15384615384615391</v>
      </c>
      <c r="AH14" s="10" t="s">
        <v>192</v>
      </c>
      <c r="AI14" s="21">
        <v>76226000</v>
      </c>
      <c r="AN14" s="7" t="s">
        <v>141</v>
      </c>
      <c r="AO14" s="18">
        <v>70212000</v>
      </c>
      <c r="AS14" s="18">
        <v>70212000</v>
      </c>
      <c r="AT14" s="7" t="s">
        <v>131</v>
      </c>
      <c r="AU14" s="78"/>
      <c r="AX14" s="18">
        <v>70212000</v>
      </c>
      <c r="AY14" s="7" t="s">
        <v>131</v>
      </c>
      <c r="AZ14" s="7" t="s">
        <v>141</v>
      </c>
    </row>
    <row r="15" spans="2:54" ht="17" customHeight="1" x14ac:dyDescent="0.2">
      <c r="B15" s="12" t="s">
        <v>129</v>
      </c>
      <c r="C15" s="13">
        <v>41</v>
      </c>
      <c r="D15" s="36">
        <v>1739379000</v>
      </c>
      <c r="E15" s="36">
        <v>608785000</v>
      </c>
      <c r="F15" s="37">
        <v>0.25762784013906198</v>
      </c>
      <c r="J15" s="12" t="s">
        <v>126</v>
      </c>
      <c r="K15" s="13">
        <v>24</v>
      </c>
      <c r="L15" s="36">
        <v>1216749000</v>
      </c>
      <c r="M15" s="36">
        <v>50697875</v>
      </c>
      <c r="N15" s="37">
        <v>0.20833333333333329</v>
      </c>
      <c r="AH15" s="7" t="s">
        <v>192</v>
      </c>
      <c r="AI15" s="18">
        <v>75827000</v>
      </c>
      <c r="AN15" s="10" t="s">
        <v>141</v>
      </c>
      <c r="AO15" s="21">
        <v>37357000</v>
      </c>
      <c r="AS15" s="21">
        <v>37357000</v>
      </c>
      <c r="AT15" s="10" t="s">
        <v>204</v>
      </c>
      <c r="AU15" s="78"/>
      <c r="AX15" s="21">
        <v>37357000</v>
      </c>
      <c r="AY15" s="10" t="s">
        <v>204</v>
      </c>
      <c r="AZ15" s="10" t="s">
        <v>141</v>
      </c>
    </row>
    <row r="16" spans="2:54" ht="17" customHeight="1" x14ac:dyDescent="0.2">
      <c r="B16" s="15" t="s">
        <v>243</v>
      </c>
      <c r="C16" s="16">
        <v>22</v>
      </c>
      <c r="D16" s="38">
        <v>1102782000</v>
      </c>
      <c r="E16" s="38">
        <v>661669000</v>
      </c>
      <c r="F16" s="39">
        <v>0.1633383781247417</v>
      </c>
      <c r="J16" s="15" t="s">
        <v>268</v>
      </c>
      <c r="K16" s="16">
        <v>21</v>
      </c>
      <c r="L16" s="38">
        <v>935341000</v>
      </c>
      <c r="M16" s="38">
        <v>44540047.619047619</v>
      </c>
      <c r="N16" s="39">
        <v>4.7619047619047623E-2</v>
      </c>
      <c r="AH16" s="7" t="s">
        <v>280</v>
      </c>
      <c r="AI16" s="18">
        <v>75382000</v>
      </c>
      <c r="AN16" s="7" t="s">
        <v>141</v>
      </c>
      <c r="AO16" s="18">
        <v>67798000</v>
      </c>
      <c r="AS16" s="18">
        <v>67798000</v>
      </c>
      <c r="AT16" s="7" t="s">
        <v>194</v>
      </c>
      <c r="AU16" s="78"/>
      <c r="AX16" s="18">
        <v>67798000</v>
      </c>
      <c r="AY16" s="7" t="s">
        <v>194</v>
      </c>
      <c r="AZ16" s="7" t="s">
        <v>141</v>
      </c>
    </row>
    <row r="17" spans="2:52" ht="17" customHeight="1" x14ac:dyDescent="0.2">
      <c r="B17" s="12" t="s">
        <v>154</v>
      </c>
      <c r="C17" s="13">
        <v>19</v>
      </c>
      <c r="D17" s="36">
        <v>929444000</v>
      </c>
      <c r="E17" s="36">
        <v>929444000</v>
      </c>
      <c r="F17" s="37">
        <v>0.13766444820261159</v>
      </c>
      <c r="J17" s="12" t="s">
        <v>233</v>
      </c>
      <c r="K17" s="13">
        <v>7</v>
      </c>
      <c r="L17" s="36">
        <v>237921000</v>
      </c>
      <c r="M17" s="36">
        <v>33988714.285714284</v>
      </c>
      <c r="N17" s="37">
        <v>0</v>
      </c>
      <c r="AH17" s="10" t="s">
        <v>181</v>
      </c>
      <c r="AI17" s="21">
        <v>74493000</v>
      </c>
      <c r="AN17" s="10" t="s">
        <v>141</v>
      </c>
      <c r="AO17" s="21">
        <v>49702000</v>
      </c>
      <c r="AS17" s="21">
        <v>49702000</v>
      </c>
      <c r="AT17" s="10" t="s">
        <v>194</v>
      </c>
      <c r="AU17" s="78"/>
      <c r="AX17" s="21">
        <v>49702000</v>
      </c>
      <c r="AY17" s="10" t="s">
        <v>194</v>
      </c>
      <c r="AZ17" s="10" t="s">
        <v>141</v>
      </c>
    </row>
    <row r="18" spans="2:52" ht="17" customHeight="1" x14ac:dyDescent="0.2">
      <c r="B18" s="15" t="s">
        <v>214</v>
      </c>
      <c r="C18" s="16">
        <v>12</v>
      </c>
      <c r="D18" s="38">
        <v>540855000</v>
      </c>
      <c r="E18" s="38">
        <v>0</v>
      </c>
      <c r="F18" s="39">
        <v>8.0108651121125654E-2</v>
      </c>
      <c r="AH18" s="10" t="s">
        <v>280</v>
      </c>
      <c r="AI18" s="21">
        <v>74472000</v>
      </c>
      <c r="AN18" s="7" t="s">
        <v>268</v>
      </c>
      <c r="AO18" s="18">
        <v>36801000</v>
      </c>
      <c r="AS18" s="18">
        <v>36801000</v>
      </c>
      <c r="AT18" s="7" t="s">
        <v>131</v>
      </c>
      <c r="AU18" s="78"/>
      <c r="AX18" s="18">
        <v>36801000</v>
      </c>
      <c r="AY18" s="7" t="s">
        <v>131</v>
      </c>
      <c r="AZ18" s="7" t="s">
        <v>268</v>
      </c>
    </row>
    <row r="19" spans="2:52" ht="17" customHeight="1" x14ac:dyDescent="0.2">
      <c r="B19" s="12" t="s">
        <v>193</v>
      </c>
      <c r="C19" s="13">
        <v>8</v>
      </c>
      <c r="D19" s="36">
        <v>372863000</v>
      </c>
      <c r="E19" s="36">
        <v>37286000</v>
      </c>
      <c r="F19" s="37">
        <v>5.5226543127041949E-2</v>
      </c>
      <c r="AH19" s="10" t="s">
        <v>153</v>
      </c>
      <c r="AI19" s="21">
        <v>74417000</v>
      </c>
      <c r="AN19" s="10" t="s">
        <v>268</v>
      </c>
      <c r="AO19" s="21">
        <v>73167000</v>
      </c>
      <c r="AS19" s="21">
        <v>73167000</v>
      </c>
      <c r="AT19" s="10" t="s">
        <v>194</v>
      </c>
      <c r="AU19" s="78"/>
      <c r="AX19" s="21">
        <v>73167000</v>
      </c>
      <c r="AY19" s="10" t="s">
        <v>194</v>
      </c>
      <c r="AZ19" s="10" t="s">
        <v>268</v>
      </c>
    </row>
    <row r="20" spans="2:52" ht="17" customHeight="1" x14ac:dyDescent="0.2">
      <c r="AH20" s="7" t="s">
        <v>192</v>
      </c>
      <c r="AI20" s="18">
        <v>73489000</v>
      </c>
      <c r="AN20" s="7" t="s">
        <v>126</v>
      </c>
      <c r="AO20" s="18">
        <v>59410000</v>
      </c>
      <c r="AS20" s="18">
        <v>59410000</v>
      </c>
      <c r="AT20" s="7" t="s">
        <v>204</v>
      </c>
      <c r="AU20" s="78"/>
      <c r="AX20" s="18">
        <v>59410000</v>
      </c>
      <c r="AY20" s="7" t="s">
        <v>204</v>
      </c>
      <c r="AZ20" s="7" t="s">
        <v>126</v>
      </c>
    </row>
    <row r="21" spans="2:52" ht="17" customHeight="1" x14ac:dyDescent="0.2">
      <c r="AH21" s="10" t="s">
        <v>128</v>
      </c>
      <c r="AI21" s="21">
        <v>73167000</v>
      </c>
      <c r="AN21" s="10" t="s">
        <v>141</v>
      </c>
      <c r="AO21" s="21">
        <v>23980000</v>
      </c>
      <c r="AS21" s="21">
        <v>23980000</v>
      </c>
      <c r="AT21" s="10" t="s">
        <v>221</v>
      </c>
      <c r="AU21" s="78"/>
      <c r="AX21" s="21">
        <v>23980000</v>
      </c>
      <c r="AY21" s="10" t="s">
        <v>221</v>
      </c>
      <c r="AZ21" s="10" t="s">
        <v>141</v>
      </c>
    </row>
    <row r="22" spans="2:52" ht="17" customHeight="1" x14ac:dyDescent="0.2">
      <c r="B22" s="92" t="s">
        <v>748</v>
      </c>
      <c r="C22" s="87"/>
      <c r="D22" s="87"/>
      <c r="E22" s="87"/>
      <c r="F22" s="87"/>
      <c r="G22" s="87"/>
      <c r="H22" s="87"/>
      <c r="J22" s="92" t="s">
        <v>749</v>
      </c>
      <c r="K22" s="87"/>
      <c r="L22" s="87"/>
      <c r="M22" s="87"/>
      <c r="N22" s="87"/>
      <c r="O22" s="87"/>
      <c r="AH22" s="7" t="s">
        <v>181</v>
      </c>
      <c r="AI22" s="18">
        <v>72484000</v>
      </c>
      <c r="AN22" s="7" t="s">
        <v>141</v>
      </c>
      <c r="AO22" s="18">
        <v>45721000</v>
      </c>
      <c r="AS22" s="18">
        <v>45721000</v>
      </c>
      <c r="AT22" s="7" t="s">
        <v>194</v>
      </c>
      <c r="AU22" s="78"/>
      <c r="AX22" s="18">
        <v>45721000</v>
      </c>
      <c r="AY22" s="7" t="s">
        <v>194</v>
      </c>
      <c r="AZ22" s="7" t="s">
        <v>141</v>
      </c>
    </row>
    <row r="23" spans="2:52" ht="17" customHeight="1" x14ac:dyDescent="0.2">
      <c r="B23" s="40" t="s">
        <v>107</v>
      </c>
      <c r="C23" s="40" t="s">
        <v>744</v>
      </c>
      <c r="D23" s="40" t="s">
        <v>713</v>
      </c>
      <c r="E23" s="40" t="s">
        <v>745</v>
      </c>
      <c r="F23" s="40" t="s">
        <v>747</v>
      </c>
      <c r="J23" s="40" t="s">
        <v>113</v>
      </c>
      <c r="K23" s="40" t="s">
        <v>744</v>
      </c>
      <c r="L23" s="40" t="s">
        <v>713</v>
      </c>
      <c r="M23" s="40" t="s">
        <v>747</v>
      </c>
      <c r="N23" s="40" t="s">
        <v>715</v>
      </c>
      <c r="AH23" s="10" t="s">
        <v>213</v>
      </c>
      <c r="AI23" s="21">
        <v>72305000</v>
      </c>
      <c r="AN23" s="10" t="s">
        <v>141</v>
      </c>
      <c r="AO23" s="21">
        <v>74493000</v>
      </c>
      <c r="AS23" s="21">
        <v>74493000</v>
      </c>
      <c r="AT23" s="10" t="s">
        <v>131</v>
      </c>
      <c r="AU23" s="78"/>
      <c r="AX23" s="21">
        <v>74493000</v>
      </c>
      <c r="AY23" s="10" t="s">
        <v>131</v>
      </c>
      <c r="AZ23" s="10" t="s">
        <v>141</v>
      </c>
    </row>
    <row r="24" spans="2:52" ht="17" customHeight="1" x14ac:dyDescent="0.2">
      <c r="B24" s="12" t="s">
        <v>181</v>
      </c>
      <c r="C24" s="13">
        <v>22</v>
      </c>
      <c r="D24" s="36">
        <v>1177970000</v>
      </c>
      <c r="E24" s="36">
        <v>532389000</v>
      </c>
      <c r="F24" s="36">
        <v>53544090.909090906</v>
      </c>
      <c r="J24" s="12" t="s">
        <v>131</v>
      </c>
      <c r="K24" s="13">
        <v>47</v>
      </c>
      <c r="L24" s="36">
        <v>1979526000</v>
      </c>
      <c r="M24" s="36">
        <v>42117574.468085103</v>
      </c>
      <c r="N24" s="37">
        <v>0.29319717432435188</v>
      </c>
      <c r="AH24" s="7" t="s">
        <v>128</v>
      </c>
      <c r="AI24" s="18">
        <v>71587000</v>
      </c>
      <c r="AN24" s="7" t="s">
        <v>268</v>
      </c>
      <c r="AO24" s="18">
        <v>76459000</v>
      </c>
      <c r="AS24" s="18">
        <v>76459000</v>
      </c>
      <c r="AT24" s="7" t="s">
        <v>131</v>
      </c>
      <c r="AU24" s="78"/>
      <c r="AX24" s="18">
        <v>76459000</v>
      </c>
      <c r="AY24" s="7" t="s">
        <v>131</v>
      </c>
      <c r="AZ24" s="7" t="s">
        <v>268</v>
      </c>
    </row>
    <row r="25" spans="2:52" ht="17" customHeight="1" x14ac:dyDescent="0.2">
      <c r="B25" s="15" t="s">
        <v>280</v>
      </c>
      <c r="C25" s="16">
        <v>22</v>
      </c>
      <c r="D25" s="38">
        <v>1032632000</v>
      </c>
      <c r="E25" s="38">
        <v>376358000</v>
      </c>
      <c r="F25" s="38">
        <v>46937818.18181818</v>
      </c>
      <c r="J25" s="15" t="s">
        <v>194</v>
      </c>
      <c r="K25" s="16">
        <v>38</v>
      </c>
      <c r="L25" s="38">
        <v>1666513000</v>
      </c>
      <c r="M25" s="38">
        <v>43855605.263157897</v>
      </c>
      <c r="N25" s="39">
        <v>0.24683530429749281</v>
      </c>
      <c r="AH25" s="7" t="s">
        <v>142</v>
      </c>
      <c r="AI25" s="18">
        <v>70980000</v>
      </c>
      <c r="AN25" s="10" t="s">
        <v>163</v>
      </c>
      <c r="AO25" s="21">
        <v>13320000</v>
      </c>
      <c r="AS25" s="21">
        <v>13320000</v>
      </c>
      <c r="AT25" s="10" t="s">
        <v>155</v>
      </c>
      <c r="AU25" s="78"/>
      <c r="AX25" s="21">
        <v>13320000</v>
      </c>
      <c r="AY25" s="10" t="s">
        <v>155</v>
      </c>
      <c r="AZ25" s="10" t="s">
        <v>163</v>
      </c>
    </row>
    <row r="26" spans="2:52" ht="17" customHeight="1" x14ac:dyDescent="0.2">
      <c r="B26" s="12" t="s">
        <v>128</v>
      </c>
      <c r="C26" s="13">
        <v>22</v>
      </c>
      <c r="D26" s="36">
        <v>1020831000</v>
      </c>
      <c r="E26" s="36">
        <v>268847000</v>
      </c>
      <c r="F26" s="36">
        <v>46401409.090909094</v>
      </c>
      <c r="J26" s="12" t="s">
        <v>204</v>
      </c>
      <c r="K26" s="13">
        <v>27</v>
      </c>
      <c r="L26" s="36">
        <v>1220856000</v>
      </c>
      <c r="M26" s="36">
        <v>45216888.888888888</v>
      </c>
      <c r="N26" s="37">
        <v>0.18082688959727281</v>
      </c>
      <c r="AH26" s="7" t="s">
        <v>280</v>
      </c>
      <c r="AI26" s="18">
        <v>70591000</v>
      </c>
      <c r="AN26" s="7" t="s">
        <v>163</v>
      </c>
      <c r="AO26" s="18">
        <v>78714000</v>
      </c>
      <c r="AS26" s="18">
        <v>78714000</v>
      </c>
      <c r="AT26" s="7" t="s">
        <v>309</v>
      </c>
      <c r="AU26" s="78"/>
      <c r="AX26" s="18">
        <v>78714000</v>
      </c>
      <c r="AY26" s="7" t="s">
        <v>309</v>
      </c>
      <c r="AZ26" s="7" t="s">
        <v>163</v>
      </c>
    </row>
    <row r="27" spans="2:52" ht="17" customHeight="1" x14ac:dyDescent="0.2">
      <c r="B27" s="15" t="s">
        <v>192</v>
      </c>
      <c r="C27" s="16">
        <v>16</v>
      </c>
      <c r="D27" s="38">
        <v>831244000</v>
      </c>
      <c r="E27" s="38">
        <v>495796000</v>
      </c>
      <c r="F27" s="38">
        <v>51952750</v>
      </c>
      <c r="J27" s="15" t="s">
        <v>221</v>
      </c>
      <c r="K27" s="16">
        <v>16</v>
      </c>
      <c r="L27" s="38">
        <v>783739000</v>
      </c>
      <c r="M27" s="38">
        <v>48983687.5</v>
      </c>
      <c r="N27" s="39">
        <v>0.11608337562011981</v>
      </c>
      <c r="AH27" s="7" t="s">
        <v>128</v>
      </c>
      <c r="AI27" s="18">
        <v>70212000</v>
      </c>
      <c r="AN27" s="10" t="s">
        <v>233</v>
      </c>
      <c r="AO27" s="21">
        <v>25009000</v>
      </c>
      <c r="AS27" s="21">
        <v>25009000</v>
      </c>
      <c r="AT27" s="10" t="s">
        <v>131</v>
      </c>
      <c r="AU27" s="78"/>
      <c r="AX27" s="21">
        <v>25009000</v>
      </c>
      <c r="AY27" s="10" t="s">
        <v>131</v>
      </c>
      <c r="AZ27" s="10" t="s">
        <v>233</v>
      </c>
    </row>
    <row r="28" spans="2:52" ht="17" customHeight="1" x14ac:dyDescent="0.2">
      <c r="B28" s="12" t="s">
        <v>142</v>
      </c>
      <c r="C28" s="13">
        <v>17</v>
      </c>
      <c r="D28" s="36">
        <v>704022000</v>
      </c>
      <c r="E28" s="36">
        <v>213288000</v>
      </c>
      <c r="F28" s="36">
        <v>41413058.823529407</v>
      </c>
      <c r="J28" s="12" t="s">
        <v>155</v>
      </c>
      <c r="K28" s="13">
        <v>14</v>
      </c>
      <c r="L28" s="36">
        <v>679037000</v>
      </c>
      <c r="M28" s="36">
        <v>48502642.857142858</v>
      </c>
      <c r="N28" s="37">
        <v>0.1005754557715761</v>
      </c>
      <c r="AH28" s="7" t="s">
        <v>213</v>
      </c>
      <c r="AI28" s="18">
        <v>69271000</v>
      </c>
      <c r="AN28" s="7" t="s">
        <v>126</v>
      </c>
      <c r="AO28" s="18">
        <v>18351000</v>
      </c>
      <c r="AS28" s="18">
        <v>18351000</v>
      </c>
      <c r="AT28" s="7" t="s">
        <v>131</v>
      </c>
      <c r="AU28" s="78"/>
      <c r="AX28" s="18">
        <v>18351000</v>
      </c>
      <c r="AY28" s="7" t="s">
        <v>131</v>
      </c>
      <c r="AZ28" s="7" t="s">
        <v>126</v>
      </c>
    </row>
    <row r="29" spans="2:52" ht="17" customHeight="1" x14ac:dyDescent="0.2">
      <c r="B29" s="15" t="s">
        <v>213</v>
      </c>
      <c r="C29" s="16">
        <v>14</v>
      </c>
      <c r="D29" s="38">
        <v>668258000</v>
      </c>
      <c r="E29" s="38">
        <v>210443000</v>
      </c>
      <c r="F29" s="38">
        <v>47732714.285714284</v>
      </c>
      <c r="J29" s="15" t="s">
        <v>309</v>
      </c>
      <c r="K29" s="16">
        <v>8</v>
      </c>
      <c r="L29" s="38">
        <v>421847000</v>
      </c>
      <c r="M29" s="38">
        <v>52730875</v>
      </c>
      <c r="N29" s="39">
        <v>6.2481800389186548E-2</v>
      </c>
      <c r="AH29" s="10" t="s">
        <v>181</v>
      </c>
      <c r="AI29" s="21">
        <v>69176000</v>
      </c>
      <c r="AN29" s="10" t="s">
        <v>141</v>
      </c>
      <c r="AO29" s="21">
        <v>2819000</v>
      </c>
      <c r="AS29" s="21">
        <v>2819000</v>
      </c>
      <c r="AT29" s="10" t="s">
        <v>194</v>
      </c>
      <c r="AU29" s="78"/>
      <c r="AX29" s="21">
        <v>2819000</v>
      </c>
      <c r="AY29" s="10" t="s">
        <v>194</v>
      </c>
      <c r="AZ29" s="10" t="s">
        <v>141</v>
      </c>
    </row>
    <row r="30" spans="2:52" ht="17" customHeight="1" x14ac:dyDescent="0.2">
      <c r="B30" s="12" t="s">
        <v>164</v>
      </c>
      <c r="C30" s="13">
        <v>19</v>
      </c>
      <c r="D30" s="36">
        <v>665265000</v>
      </c>
      <c r="E30" s="36">
        <v>172642000</v>
      </c>
      <c r="F30" s="36">
        <v>35013947.368421063</v>
      </c>
      <c r="AH30" s="10" t="s">
        <v>164</v>
      </c>
      <c r="AI30" s="21">
        <v>68632000</v>
      </c>
      <c r="AN30" s="7" t="s">
        <v>163</v>
      </c>
      <c r="AO30" s="18">
        <v>60559000</v>
      </c>
      <c r="AS30" s="18">
        <v>60559000</v>
      </c>
      <c r="AT30" s="7" t="s">
        <v>131</v>
      </c>
      <c r="AU30" s="78"/>
      <c r="AX30" s="18">
        <v>60559000</v>
      </c>
      <c r="AY30" s="7" t="s">
        <v>131</v>
      </c>
      <c r="AZ30" s="7" t="s">
        <v>163</v>
      </c>
    </row>
    <row r="31" spans="2:52" ht="17" customHeight="1" x14ac:dyDescent="0.2">
      <c r="B31" s="15" t="s">
        <v>153</v>
      </c>
      <c r="C31" s="16">
        <v>18</v>
      </c>
      <c r="D31" s="38">
        <v>651296000</v>
      </c>
      <c r="E31" s="38">
        <v>184044000</v>
      </c>
      <c r="F31" s="38">
        <v>36183111.111111112</v>
      </c>
      <c r="AH31" s="10" t="s">
        <v>181</v>
      </c>
      <c r="AI31" s="21">
        <v>68394000</v>
      </c>
      <c r="AN31" s="10" t="s">
        <v>163</v>
      </c>
      <c r="AO31" s="21">
        <v>38781000</v>
      </c>
      <c r="AS31" s="21">
        <v>38781000</v>
      </c>
      <c r="AT31" s="10" t="s">
        <v>221</v>
      </c>
      <c r="AU31" s="78"/>
      <c r="AX31" s="21">
        <v>38781000</v>
      </c>
      <c r="AY31" s="10" t="s">
        <v>221</v>
      </c>
      <c r="AZ31" s="10" t="s">
        <v>163</v>
      </c>
    </row>
    <row r="32" spans="2:52" ht="17" customHeight="1" x14ac:dyDescent="0.2">
      <c r="AH32" s="7" t="s">
        <v>213</v>
      </c>
      <c r="AI32" s="18">
        <v>67798000</v>
      </c>
      <c r="AN32" s="7" t="s">
        <v>141</v>
      </c>
      <c r="AO32" s="18">
        <v>39117000</v>
      </c>
      <c r="AS32" s="18">
        <v>39117000</v>
      </c>
      <c r="AT32" s="7" t="s">
        <v>131</v>
      </c>
      <c r="AU32" s="78"/>
      <c r="AX32" s="18">
        <v>39117000</v>
      </c>
      <c r="AY32" s="7" t="s">
        <v>131</v>
      </c>
      <c r="AZ32" s="7" t="s">
        <v>141</v>
      </c>
    </row>
    <row r="33" spans="1:52" ht="17" customHeight="1" x14ac:dyDescent="0.2">
      <c r="AH33" s="10" t="s">
        <v>153</v>
      </c>
      <c r="AI33" s="21">
        <v>66859000</v>
      </c>
      <c r="AN33" s="10" t="s">
        <v>163</v>
      </c>
      <c r="AO33" s="21">
        <v>27301000</v>
      </c>
      <c r="AS33" s="21">
        <v>27301000</v>
      </c>
      <c r="AT33" s="10" t="s">
        <v>131</v>
      </c>
      <c r="AU33" s="78"/>
      <c r="AX33" s="21">
        <v>27301000</v>
      </c>
      <c r="AY33" s="10" t="s">
        <v>131</v>
      </c>
      <c r="AZ33" s="10" t="s">
        <v>163</v>
      </c>
    </row>
    <row r="34" spans="1:52" ht="17" customHeight="1" x14ac:dyDescent="0.25">
      <c r="A34" s="44" t="s">
        <v>35</v>
      </c>
      <c r="L34" s="44" t="s">
        <v>47</v>
      </c>
      <c r="R34" s="44" t="s">
        <v>40</v>
      </c>
      <c r="AH34" s="10" t="s">
        <v>280</v>
      </c>
      <c r="AI34" s="21">
        <v>66595000</v>
      </c>
      <c r="AN34" s="7" t="s">
        <v>163</v>
      </c>
      <c r="AO34" s="18">
        <v>29495000</v>
      </c>
      <c r="AS34" s="18">
        <v>29495000</v>
      </c>
      <c r="AT34" s="7" t="s">
        <v>221</v>
      </c>
      <c r="AU34" s="78"/>
      <c r="AX34" s="18">
        <v>29495000</v>
      </c>
      <c r="AY34" s="7" t="s">
        <v>221</v>
      </c>
      <c r="AZ34" s="7" t="s">
        <v>163</v>
      </c>
    </row>
    <row r="35" spans="1:52" ht="17" customHeight="1" x14ac:dyDescent="0.2">
      <c r="L35" s="51" t="s">
        <v>107</v>
      </c>
      <c r="M35" t="s">
        <v>794</v>
      </c>
      <c r="N35" t="s">
        <v>796</v>
      </c>
      <c r="AH35" s="10" t="s">
        <v>280</v>
      </c>
      <c r="AI35" s="21">
        <v>65130000</v>
      </c>
      <c r="AN35" s="10" t="s">
        <v>268</v>
      </c>
      <c r="AO35" s="21">
        <v>56328000</v>
      </c>
      <c r="AS35" s="21">
        <v>56328000</v>
      </c>
      <c r="AT35" s="10" t="s">
        <v>194</v>
      </c>
      <c r="AU35" s="78"/>
      <c r="AX35" s="21">
        <v>56328000</v>
      </c>
      <c r="AY35" s="10" t="s">
        <v>194</v>
      </c>
      <c r="AZ35" s="10" t="s">
        <v>268</v>
      </c>
    </row>
    <row r="36" spans="1:52" ht="17" customHeight="1" x14ac:dyDescent="0.2">
      <c r="L36" s="54" t="s">
        <v>164</v>
      </c>
      <c r="M36" s="55">
        <v>665265000</v>
      </c>
      <c r="N36" s="55">
        <v>172642000</v>
      </c>
      <c r="AH36" s="7" t="s">
        <v>164</v>
      </c>
      <c r="AI36" s="18">
        <v>64266000</v>
      </c>
      <c r="AN36" s="7" t="s">
        <v>268</v>
      </c>
      <c r="AO36" s="18">
        <v>58108000</v>
      </c>
      <c r="AS36" s="18">
        <v>58108000</v>
      </c>
      <c r="AT36" s="7" t="s">
        <v>309</v>
      </c>
      <c r="AU36" s="78"/>
      <c r="AX36" s="18">
        <v>58108000</v>
      </c>
      <c r="AY36" s="7" t="s">
        <v>309</v>
      </c>
      <c r="AZ36" s="7" t="s">
        <v>268</v>
      </c>
    </row>
    <row r="37" spans="1:52" ht="17" customHeight="1" x14ac:dyDescent="0.2">
      <c r="L37" s="50" t="s">
        <v>213</v>
      </c>
      <c r="M37">
        <v>668258000</v>
      </c>
      <c r="N37">
        <v>210443000</v>
      </c>
      <c r="AH37" s="7" t="s">
        <v>142</v>
      </c>
      <c r="AI37" s="18">
        <v>63948000</v>
      </c>
      <c r="AN37" s="10" t="s">
        <v>268</v>
      </c>
      <c r="AO37" s="21">
        <v>40500000</v>
      </c>
      <c r="AS37" s="21">
        <v>40500000</v>
      </c>
      <c r="AT37" s="10" t="s">
        <v>194</v>
      </c>
      <c r="AU37" s="78"/>
      <c r="AX37" s="21">
        <v>40500000</v>
      </c>
      <c r="AY37" s="10" t="s">
        <v>194</v>
      </c>
      <c r="AZ37" s="10" t="s">
        <v>268</v>
      </c>
    </row>
    <row r="38" spans="1:52" ht="17" customHeight="1" x14ac:dyDescent="0.2">
      <c r="L38" s="50" t="s">
        <v>142</v>
      </c>
      <c r="M38">
        <v>704022000</v>
      </c>
      <c r="N38">
        <v>213288000</v>
      </c>
      <c r="AH38" s="7" t="s">
        <v>128</v>
      </c>
      <c r="AI38" s="18">
        <v>63679000</v>
      </c>
      <c r="AN38" s="7" t="s">
        <v>268</v>
      </c>
      <c r="AO38" s="18">
        <v>36250000</v>
      </c>
      <c r="AS38" s="18">
        <v>36250000</v>
      </c>
      <c r="AT38" s="7" t="s">
        <v>131</v>
      </c>
      <c r="AU38" s="78"/>
      <c r="AX38" s="18">
        <v>36250000</v>
      </c>
      <c r="AY38" s="7" t="s">
        <v>131</v>
      </c>
      <c r="AZ38" s="7" t="s">
        <v>268</v>
      </c>
    </row>
    <row r="39" spans="1:52" ht="17" customHeight="1" x14ac:dyDescent="0.2">
      <c r="L39" s="50" t="s">
        <v>192</v>
      </c>
      <c r="M39">
        <v>831244000</v>
      </c>
      <c r="N39">
        <v>495796000</v>
      </c>
      <c r="AH39" s="10" t="s">
        <v>128</v>
      </c>
      <c r="AI39" s="21">
        <v>63582000</v>
      </c>
      <c r="AN39" s="10" t="s">
        <v>141</v>
      </c>
      <c r="AO39" s="21">
        <v>43385000</v>
      </c>
      <c r="AS39" s="21">
        <v>43385000</v>
      </c>
      <c r="AT39" s="10" t="s">
        <v>131</v>
      </c>
      <c r="AU39" s="78"/>
      <c r="AX39" s="21">
        <v>43385000</v>
      </c>
      <c r="AY39" s="10" t="s">
        <v>131</v>
      </c>
      <c r="AZ39" s="10" t="s">
        <v>141</v>
      </c>
    </row>
    <row r="40" spans="1:52" ht="17" customHeight="1" x14ac:dyDescent="0.2">
      <c r="L40" s="50" t="s">
        <v>181</v>
      </c>
      <c r="M40">
        <v>1177970000</v>
      </c>
      <c r="N40">
        <v>532389000</v>
      </c>
      <c r="AH40" s="7" t="s">
        <v>142</v>
      </c>
      <c r="AI40" s="18">
        <v>62682000</v>
      </c>
      <c r="AN40" s="7" t="s">
        <v>163</v>
      </c>
      <c r="AO40" s="18">
        <v>23619000</v>
      </c>
      <c r="AS40" s="18">
        <v>23619000</v>
      </c>
      <c r="AT40" s="7" t="s">
        <v>131</v>
      </c>
      <c r="AU40" s="78"/>
      <c r="AX40" s="18">
        <v>23619000</v>
      </c>
      <c r="AY40" s="7" t="s">
        <v>131</v>
      </c>
      <c r="AZ40" s="7" t="s">
        <v>163</v>
      </c>
    </row>
    <row r="41" spans="1:52" ht="17" customHeight="1" x14ac:dyDescent="0.2">
      <c r="L41" s="50" t="s">
        <v>128</v>
      </c>
      <c r="M41">
        <v>1020831000</v>
      </c>
      <c r="N41">
        <v>268847000</v>
      </c>
      <c r="AH41" s="10" t="s">
        <v>153</v>
      </c>
      <c r="AI41" s="21">
        <v>61794000</v>
      </c>
      <c r="AN41" s="10" t="s">
        <v>141</v>
      </c>
      <c r="AO41" s="21">
        <v>10117000</v>
      </c>
      <c r="AS41" s="21">
        <v>10117000</v>
      </c>
      <c r="AT41" s="10" t="s">
        <v>194</v>
      </c>
      <c r="AU41" s="78"/>
      <c r="AX41" s="21">
        <v>10117000</v>
      </c>
      <c r="AY41" s="10" t="s">
        <v>194</v>
      </c>
      <c r="AZ41" s="10" t="s">
        <v>141</v>
      </c>
    </row>
    <row r="42" spans="1:52" ht="17" customHeight="1" x14ac:dyDescent="0.2">
      <c r="L42" s="50" t="s">
        <v>153</v>
      </c>
      <c r="M42">
        <v>651296000</v>
      </c>
      <c r="N42">
        <v>184044000</v>
      </c>
      <c r="AH42" s="10" t="s">
        <v>280</v>
      </c>
      <c r="AI42" s="21">
        <v>61468000</v>
      </c>
      <c r="AN42" s="7" t="s">
        <v>268</v>
      </c>
      <c r="AO42" s="18">
        <v>27475000</v>
      </c>
      <c r="AS42" s="18">
        <v>27475000</v>
      </c>
      <c r="AT42" s="7" t="s">
        <v>131</v>
      </c>
      <c r="AU42" s="78"/>
      <c r="AX42" s="18">
        <v>27475000</v>
      </c>
      <c r="AY42" s="7" t="s">
        <v>131</v>
      </c>
      <c r="AZ42" s="7" t="s">
        <v>268</v>
      </c>
    </row>
    <row r="43" spans="1:52" ht="17" customHeight="1" x14ac:dyDescent="0.2">
      <c r="L43" s="52" t="s">
        <v>280</v>
      </c>
      <c r="M43" s="53">
        <v>1032632000</v>
      </c>
      <c r="N43" s="53">
        <v>376358000</v>
      </c>
      <c r="AH43" s="7" t="s">
        <v>213</v>
      </c>
      <c r="AI43" s="18">
        <v>61164000</v>
      </c>
      <c r="AN43" s="10" t="s">
        <v>126</v>
      </c>
      <c r="AO43" s="21">
        <v>11746000</v>
      </c>
      <c r="AS43" s="21">
        <v>11746000</v>
      </c>
      <c r="AT43" s="10" t="s">
        <v>194</v>
      </c>
      <c r="AU43" s="78"/>
      <c r="AX43" s="21">
        <v>11746000</v>
      </c>
      <c r="AY43" s="10" t="s">
        <v>194</v>
      </c>
      <c r="AZ43" s="10" t="s">
        <v>126</v>
      </c>
    </row>
    <row r="44" spans="1:52" ht="17" customHeight="1" x14ac:dyDescent="0.2">
      <c r="L44" s="50" t="s">
        <v>793</v>
      </c>
      <c r="M44">
        <v>6751518000</v>
      </c>
      <c r="N44">
        <v>2453807000</v>
      </c>
      <c r="AH44" s="7" t="s">
        <v>192</v>
      </c>
      <c r="AI44" s="18">
        <v>60941000</v>
      </c>
      <c r="AN44" s="7" t="s">
        <v>141</v>
      </c>
      <c r="AO44" s="18">
        <v>70980000</v>
      </c>
      <c r="AS44" s="18">
        <v>70980000</v>
      </c>
      <c r="AT44" s="7" t="s">
        <v>155</v>
      </c>
      <c r="AU44" s="78"/>
      <c r="AX44" s="18">
        <v>70980000</v>
      </c>
      <c r="AY44" s="7" t="s">
        <v>155</v>
      </c>
      <c r="AZ44" s="7" t="s">
        <v>141</v>
      </c>
    </row>
    <row r="45" spans="1:52" ht="17" customHeight="1" x14ac:dyDescent="0.2">
      <c r="AH45" s="7" t="s">
        <v>142</v>
      </c>
      <c r="AI45" s="18">
        <v>60886000</v>
      </c>
      <c r="AN45" s="10" t="s">
        <v>141</v>
      </c>
      <c r="AO45" s="21">
        <v>68632000</v>
      </c>
      <c r="AS45" s="21">
        <v>68632000</v>
      </c>
      <c r="AT45" s="10" t="s">
        <v>204</v>
      </c>
      <c r="AU45" s="78"/>
      <c r="AX45" s="21">
        <v>68632000</v>
      </c>
      <c r="AY45" s="10" t="s">
        <v>204</v>
      </c>
      <c r="AZ45" s="10" t="s">
        <v>141</v>
      </c>
    </row>
    <row r="46" spans="1:52" ht="17" customHeight="1" x14ac:dyDescent="0.2">
      <c r="AH46" s="7" t="s">
        <v>192</v>
      </c>
      <c r="AI46" s="18">
        <v>60559000</v>
      </c>
      <c r="AN46" s="7" t="s">
        <v>141</v>
      </c>
      <c r="AO46" s="18">
        <v>47821000</v>
      </c>
      <c r="AS46" s="18">
        <v>47821000</v>
      </c>
      <c r="AT46" s="7" t="s">
        <v>204</v>
      </c>
      <c r="AU46" s="78"/>
      <c r="AX46" s="18">
        <v>47821000</v>
      </c>
      <c r="AY46" s="7" t="s">
        <v>204</v>
      </c>
      <c r="AZ46" s="7" t="s">
        <v>141</v>
      </c>
    </row>
    <row r="47" spans="1:52" ht="17" customHeight="1" x14ac:dyDescent="0.2">
      <c r="AH47" s="7" t="s">
        <v>128</v>
      </c>
      <c r="AI47" s="18">
        <v>60321000</v>
      </c>
      <c r="AN47" s="10" t="s">
        <v>268</v>
      </c>
      <c r="AO47" s="21">
        <v>37514000</v>
      </c>
      <c r="AS47" s="21">
        <v>37514000</v>
      </c>
      <c r="AT47" s="10" t="s">
        <v>309</v>
      </c>
      <c r="AU47" s="78"/>
      <c r="AX47" s="21">
        <v>37514000</v>
      </c>
      <c r="AY47" s="10" t="s">
        <v>309</v>
      </c>
      <c r="AZ47" s="10" t="s">
        <v>268</v>
      </c>
    </row>
    <row r="48" spans="1:52" ht="17" customHeight="1" x14ac:dyDescent="0.2">
      <c r="AH48" s="7" t="s">
        <v>280</v>
      </c>
      <c r="AI48" s="18">
        <v>59410000</v>
      </c>
      <c r="AN48" s="7" t="s">
        <v>141</v>
      </c>
      <c r="AO48" s="18">
        <v>44816000</v>
      </c>
      <c r="AS48" s="18">
        <v>44816000</v>
      </c>
      <c r="AT48" s="7" t="s">
        <v>131</v>
      </c>
      <c r="AU48" s="78"/>
      <c r="AX48" s="18">
        <v>44816000</v>
      </c>
      <c r="AY48" s="7" t="s">
        <v>131</v>
      </c>
      <c r="AZ48" s="7" t="s">
        <v>141</v>
      </c>
    </row>
    <row r="49" spans="34:52" ht="17" customHeight="1" x14ac:dyDescent="0.2">
      <c r="AH49" s="7" t="s">
        <v>153</v>
      </c>
      <c r="AI49" s="18">
        <v>58586000</v>
      </c>
      <c r="AN49" s="10" t="s">
        <v>126</v>
      </c>
      <c r="AO49" s="21">
        <v>80444000</v>
      </c>
      <c r="AS49" s="21">
        <v>80444000</v>
      </c>
      <c r="AT49" s="10" t="s">
        <v>155</v>
      </c>
      <c r="AU49" s="78"/>
      <c r="AX49" s="21">
        <v>80444000</v>
      </c>
      <c r="AY49" s="10" t="s">
        <v>155</v>
      </c>
      <c r="AZ49" s="10" t="s">
        <v>126</v>
      </c>
    </row>
    <row r="50" spans="34:52" ht="17" customHeight="1" x14ac:dyDescent="0.2">
      <c r="AH50" s="7" t="s">
        <v>192</v>
      </c>
      <c r="AI50" s="18">
        <v>58108000</v>
      </c>
      <c r="AN50" s="7" t="s">
        <v>141</v>
      </c>
      <c r="AO50" s="18">
        <v>78781000</v>
      </c>
      <c r="AS50" s="18">
        <v>78781000</v>
      </c>
      <c r="AT50" s="7" t="s">
        <v>221</v>
      </c>
      <c r="AU50" s="78"/>
      <c r="AX50" s="18">
        <v>78781000</v>
      </c>
      <c r="AY50" s="7" t="s">
        <v>221</v>
      </c>
      <c r="AZ50" s="7" t="s">
        <v>141</v>
      </c>
    </row>
    <row r="51" spans="34:52" ht="17" customHeight="1" x14ac:dyDescent="0.2">
      <c r="AH51" s="10" t="s">
        <v>280</v>
      </c>
      <c r="AI51" s="21">
        <v>57739000</v>
      </c>
      <c r="AN51" s="10" t="s">
        <v>126</v>
      </c>
      <c r="AO51" s="21">
        <v>76226000</v>
      </c>
      <c r="AS51" s="21">
        <v>76226000</v>
      </c>
      <c r="AT51" s="10" t="s">
        <v>131</v>
      </c>
      <c r="AU51" s="78"/>
      <c r="AX51" s="21">
        <v>76226000</v>
      </c>
      <c r="AY51" s="10" t="s">
        <v>131</v>
      </c>
      <c r="AZ51" s="10" t="s">
        <v>126</v>
      </c>
    </row>
    <row r="52" spans="34:52" ht="17" customHeight="1" x14ac:dyDescent="0.2">
      <c r="AH52" s="10" t="s">
        <v>128</v>
      </c>
      <c r="AI52" s="21">
        <v>57555000</v>
      </c>
      <c r="AN52" s="7" t="s">
        <v>233</v>
      </c>
      <c r="AO52" s="18">
        <v>30412000</v>
      </c>
      <c r="AS52" s="18">
        <v>30412000</v>
      </c>
      <c r="AT52" s="7" t="s">
        <v>221</v>
      </c>
      <c r="AU52" s="78"/>
      <c r="AX52" s="18">
        <v>30412000</v>
      </c>
      <c r="AY52" s="7" t="s">
        <v>221</v>
      </c>
      <c r="AZ52" s="7" t="s">
        <v>233</v>
      </c>
    </row>
    <row r="53" spans="34:52" ht="17" customHeight="1" x14ac:dyDescent="0.2">
      <c r="AH53" s="7" t="s">
        <v>128</v>
      </c>
      <c r="AI53" s="18">
        <v>57269000</v>
      </c>
      <c r="AN53" s="10" t="s">
        <v>141</v>
      </c>
      <c r="AO53" s="21">
        <v>57555000</v>
      </c>
      <c r="AS53" s="21">
        <v>57555000</v>
      </c>
      <c r="AT53" s="10" t="s">
        <v>309</v>
      </c>
      <c r="AU53" s="78"/>
      <c r="AX53" s="21">
        <v>57555000</v>
      </c>
      <c r="AY53" s="10" t="s">
        <v>309</v>
      </c>
      <c r="AZ53" s="10" t="s">
        <v>141</v>
      </c>
    </row>
    <row r="54" spans="34:52" ht="17" customHeight="1" x14ac:dyDescent="0.2">
      <c r="AH54" s="10" t="s">
        <v>181</v>
      </c>
      <c r="AI54" s="21">
        <v>56824000</v>
      </c>
      <c r="AN54" s="7" t="s">
        <v>268</v>
      </c>
      <c r="AO54" s="18">
        <v>24389000</v>
      </c>
      <c r="AS54" s="18">
        <v>24389000</v>
      </c>
      <c r="AT54" s="7" t="s">
        <v>194</v>
      </c>
      <c r="AU54" s="78"/>
      <c r="AX54" s="18">
        <v>24389000</v>
      </c>
      <c r="AY54" s="7" t="s">
        <v>194</v>
      </c>
      <c r="AZ54" s="7" t="s">
        <v>268</v>
      </c>
    </row>
    <row r="55" spans="34:52" ht="17" customHeight="1" x14ac:dyDescent="0.2">
      <c r="AH55" s="10" t="s">
        <v>181</v>
      </c>
      <c r="AI55" s="21">
        <v>56811000</v>
      </c>
      <c r="AN55" s="10" t="s">
        <v>126</v>
      </c>
      <c r="AO55" s="21">
        <v>34840000</v>
      </c>
      <c r="AS55" s="21">
        <v>34840000</v>
      </c>
      <c r="AT55" s="10" t="s">
        <v>194</v>
      </c>
      <c r="AU55" s="78"/>
      <c r="AX55" s="21">
        <v>34840000</v>
      </c>
      <c r="AY55" s="10" t="s">
        <v>194</v>
      </c>
      <c r="AZ55" s="10" t="s">
        <v>126</v>
      </c>
    </row>
    <row r="56" spans="34:52" ht="17" customHeight="1" x14ac:dyDescent="0.2">
      <c r="AH56" s="10" t="s">
        <v>181</v>
      </c>
      <c r="AI56" s="21">
        <v>56328000</v>
      </c>
      <c r="AN56" s="7" t="s">
        <v>163</v>
      </c>
      <c r="AO56" s="18">
        <v>6891000</v>
      </c>
      <c r="AS56" s="18">
        <v>6891000</v>
      </c>
      <c r="AT56" s="7" t="s">
        <v>221</v>
      </c>
      <c r="AU56" s="78"/>
      <c r="AX56" s="18">
        <v>6891000</v>
      </c>
      <c r="AY56" s="7" t="s">
        <v>221</v>
      </c>
      <c r="AZ56" s="7" t="s">
        <v>163</v>
      </c>
    </row>
    <row r="57" spans="34:52" ht="17" customHeight="1" x14ac:dyDescent="0.2">
      <c r="AH57" s="7" t="s">
        <v>164</v>
      </c>
      <c r="AI57" s="18">
        <v>55807000</v>
      </c>
      <c r="AN57" s="10" t="s">
        <v>141</v>
      </c>
      <c r="AO57" s="21">
        <v>2096000</v>
      </c>
      <c r="AS57" s="21">
        <v>2096000</v>
      </c>
      <c r="AT57" s="10" t="s">
        <v>131</v>
      </c>
      <c r="AU57" s="78"/>
      <c r="AX57" s="21">
        <v>2096000</v>
      </c>
      <c r="AY57" s="10" t="s">
        <v>131</v>
      </c>
      <c r="AZ57" s="10" t="s">
        <v>141</v>
      </c>
    </row>
    <row r="58" spans="34:52" ht="17" customHeight="1" x14ac:dyDescent="0.2">
      <c r="AH58" s="7" t="s">
        <v>213</v>
      </c>
      <c r="AI58" s="18">
        <v>55421000</v>
      </c>
      <c r="AN58" s="7" t="s">
        <v>163</v>
      </c>
      <c r="AO58" s="18">
        <v>64266000</v>
      </c>
      <c r="AS58" s="18">
        <v>64266000</v>
      </c>
      <c r="AT58" s="7" t="s">
        <v>155</v>
      </c>
      <c r="AU58" s="78"/>
      <c r="AX58" s="18">
        <v>64266000</v>
      </c>
      <c r="AY58" s="7" t="s">
        <v>155</v>
      </c>
      <c r="AZ58" s="7" t="s">
        <v>163</v>
      </c>
    </row>
    <row r="59" spans="34:52" ht="17" customHeight="1" x14ac:dyDescent="0.2">
      <c r="AH59" s="7" t="s">
        <v>164</v>
      </c>
      <c r="AI59" s="18">
        <v>54273000</v>
      </c>
      <c r="AN59" s="10" t="s">
        <v>126</v>
      </c>
      <c r="AO59" s="21">
        <v>2905000</v>
      </c>
      <c r="AS59" s="21">
        <v>2905000</v>
      </c>
      <c r="AT59" s="10" t="s">
        <v>204</v>
      </c>
      <c r="AU59" s="78"/>
      <c r="AX59" s="21">
        <v>2905000</v>
      </c>
      <c r="AY59" s="10" t="s">
        <v>204</v>
      </c>
      <c r="AZ59" s="10" t="s">
        <v>126</v>
      </c>
    </row>
    <row r="60" spans="34:52" ht="17" customHeight="1" x14ac:dyDescent="0.2">
      <c r="AH60" s="10" t="s">
        <v>181</v>
      </c>
      <c r="AI60" s="21">
        <v>54127000</v>
      </c>
      <c r="AN60" s="7" t="s">
        <v>141</v>
      </c>
      <c r="AO60" s="18">
        <v>5552000</v>
      </c>
      <c r="AS60" s="18">
        <v>5552000</v>
      </c>
      <c r="AT60" s="7" t="s">
        <v>131</v>
      </c>
      <c r="AU60" s="78"/>
      <c r="AX60" s="18">
        <v>5552000</v>
      </c>
      <c r="AY60" s="7" t="s">
        <v>131</v>
      </c>
      <c r="AZ60" s="7" t="s">
        <v>141</v>
      </c>
    </row>
    <row r="61" spans="34:52" ht="17" customHeight="1" x14ac:dyDescent="0.2">
      <c r="AH61" s="10" t="s">
        <v>213</v>
      </c>
      <c r="AI61" s="21">
        <v>53559000</v>
      </c>
      <c r="AN61" s="10" t="s">
        <v>163</v>
      </c>
      <c r="AO61" s="21">
        <v>18693000</v>
      </c>
      <c r="AS61" s="21">
        <v>18693000</v>
      </c>
      <c r="AT61" s="10" t="s">
        <v>131</v>
      </c>
      <c r="AU61" s="78"/>
      <c r="AX61" s="21">
        <v>18693000</v>
      </c>
      <c r="AY61" s="10" t="s">
        <v>131</v>
      </c>
      <c r="AZ61" s="10" t="s">
        <v>163</v>
      </c>
    </row>
    <row r="62" spans="34:52" ht="17" customHeight="1" x14ac:dyDescent="0.2">
      <c r="AH62" s="10" t="s">
        <v>142</v>
      </c>
      <c r="AI62" s="21">
        <v>51944000</v>
      </c>
      <c r="AN62" s="7" t="s">
        <v>141</v>
      </c>
      <c r="AO62" s="18">
        <v>75827000</v>
      </c>
      <c r="AS62" s="18">
        <v>75827000</v>
      </c>
      <c r="AT62" s="7" t="s">
        <v>221</v>
      </c>
      <c r="AU62" s="78"/>
      <c r="AX62" s="18">
        <v>75827000</v>
      </c>
      <c r="AY62" s="7" t="s">
        <v>221</v>
      </c>
      <c r="AZ62" s="7" t="s">
        <v>141</v>
      </c>
    </row>
    <row r="63" spans="34:52" ht="17" customHeight="1" x14ac:dyDescent="0.2">
      <c r="AH63" s="7" t="s">
        <v>280</v>
      </c>
      <c r="AI63" s="18">
        <v>51865000</v>
      </c>
      <c r="AN63" s="10" t="s">
        <v>268</v>
      </c>
      <c r="AO63" s="21">
        <v>31272000</v>
      </c>
      <c r="AS63" s="21">
        <v>31272000</v>
      </c>
      <c r="AT63" s="10" t="s">
        <v>194</v>
      </c>
      <c r="AU63" s="78"/>
      <c r="AX63" s="21">
        <v>31272000</v>
      </c>
      <c r="AY63" s="10" t="s">
        <v>194</v>
      </c>
      <c r="AZ63" s="10" t="s">
        <v>268</v>
      </c>
    </row>
    <row r="64" spans="34:52" ht="17" customHeight="1" x14ac:dyDescent="0.2">
      <c r="AH64" s="7" t="s">
        <v>153</v>
      </c>
      <c r="AI64" s="18">
        <v>51323000</v>
      </c>
      <c r="AN64" s="7" t="s">
        <v>141</v>
      </c>
      <c r="AO64" s="18">
        <v>753000</v>
      </c>
      <c r="AS64" s="18">
        <v>753000</v>
      </c>
      <c r="AT64" s="7" t="s">
        <v>131</v>
      </c>
      <c r="AU64" s="78"/>
      <c r="AX64" s="18">
        <v>753000</v>
      </c>
      <c r="AY64" s="7" t="s">
        <v>131</v>
      </c>
      <c r="AZ64" s="7" t="s">
        <v>141</v>
      </c>
    </row>
    <row r="65" spans="1:52" ht="17" customHeight="1" x14ac:dyDescent="0.2">
      <c r="AH65" s="7" t="s">
        <v>128</v>
      </c>
      <c r="AI65" s="18">
        <v>50573000</v>
      </c>
      <c r="AN65" s="10" t="s">
        <v>268</v>
      </c>
      <c r="AO65" s="21">
        <v>726000</v>
      </c>
      <c r="AS65" s="21">
        <v>726000</v>
      </c>
      <c r="AT65" s="10" t="s">
        <v>131</v>
      </c>
      <c r="AU65" s="78"/>
      <c r="AX65" s="21">
        <v>726000</v>
      </c>
      <c r="AY65" s="10" t="s">
        <v>131</v>
      </c>
      <c r="AZ65" s="10" t="s">
        <v>268</v>
      </c>
    </row>
    <row r="66" spans="1:52" ht="17" customHeight="1" x14ac:dyDescent="0.25">
      <c r="A66" s="44" t="s">
        <v>54</v>
      </c>
      <c r="AH66" s="7" t="s">
        <v>153</v>
      </c>
      <c r="AI66" s="18">
        <v>49954000</v>
      </c>
      <c r="AN66" s="7" t="s">
        <v>126</v>
      </c>
      <c r="AO66" s="18">
        <v>51323000</v>
      </c>
      <c r="AS66" s="18">
        <v>51323000</v>
      </c>
      <c r="AT66" s="7" t="s">
        <v>221</v>
      </c>
      <c r="AU66" s="78"/>
      <c r="AX66" s="18">
        <v>51323000</v>
      </c>
      <c r="AY66" s="7" t="s">
        <v>221</v>
      </c>
      <c r="AZ66" s="7" t="s">
        <v>126</v>
      </c>
    </row>
    <row r="67" spans="1:52" ht="17" customHeight="1" x14ac:dyDescent="0.25">
      <c r="A67" s="84" t="s">
        <v>802</v>
      </c>
      <c r="B67" s="84"/>
      <c r="C67" s="84"/>
      <c r="D67" s="84"/>
      <c r="E67" s="84"/>
      <c r="F67" s="84"/>
      <c r="G67" s="84"/>
      <c r="H67" s="84"/>
      <c r="I67" s="84"/>
      <c r="J67" s="84"/>
      <c r="K67" s="84"/>
      <c r="L67" s="84"/>
      <c r="M67" s="84"/>
      <c r="N67" s="84"/>
      <c r="AH67" s="10" t="s">
        <v>181</v>
      </c>
      <c r="AI67" s="21">
        <v>49702000</v>
      </c>
      <c r="AN67" s="10" t="s">
        <v>268</v>
      </c>
      <c r="AO67" s="21">
        <v>56811000</v>
      </c>
      <c r="AS67" s="21">
        <v>56811000</v>
      </c>
      <c r="AT67" s="10" t="s">
        <v>131</v>
      </c>
      <c r="AU67" s="78"/>
      <c r="AX67" s="21">
        <v>56811000</v>
      </c>
      <c r="AY67" s="10" t="s">
        <v>131</v>
      </c>
      <c r="AZ67" s="10" t="s">
        <v>268</v>
      </c>
    </row>
    <row r="68" spans="1:52" ht="17" customHeight="1" x14ac:dyDescent="0.25">
      <c r="A68" s="84"/>
      <c r="B68" s="84"/>
      <c r="C68" s="84"/>
      <c r="D68" s="84"/>
      <c r="E68" s="84"/>
      <c r="F68" s="84"/>
      <c r="G68" s="84"/>
      <c r="H68" s="84"/>
      <c r="I68" s="84"/>
      <c r="J68" s="84"/>
      <c r="K68" s="84"/>
      <c r="L68" s="84"/>
      <c r="M68" s="84"/>
      <c r="N68" s="84"/>
      <c r="AH68" s="7" t="s">
        <v>192</v>
      </c>
      <c r="AI68" s="18">
        <v>49219000</v>
      </c>
      <c r="AN68" s="7" t="s">
        <v>141</v>
      </c>
      <c r="AO68" s="18">
        <v>46313000</v>
      </c>
      <c r="AS68" s="18">
        <v>46313000</v>
      </c>
      <c r="AT68" s="7" t="s">
        <v>204</v>
      </c>
      <c r="AU68" s="78"/>
      <c r="AX68" s="18">
        <v>46313000</v>
      </c>
      <c r="AY68" s="7" t="s">
        <v>204</v>
      </c>
      <c r="AZ68" s="7" t="s">
        <v>141</v>
      </c>
    </row>
    <row r="69" spans="1:52" ht="17" customHeight="1" x14ac:dyDescent="0.25">
      <c r="A69" s="84" t="s">
        <v>798</v>
      </c>
      <c r="B69" s="84"/>
      <c r="C69" s="84"/>
      <c r="D69" s="84"/>
      <c r="E69" s="84"/>
      <c r="F69" s="84"/>
      <c r="G69" s="84"/>
      <c r="H69" s="84"/>
      <c r="I69" s="84"/>
      <c r="J69" s="84"/>
      <c r="K69" s="84"/>
      <c r="L69" s="84"/>
      <c r="M69" s="84"/>
      <c r="N69" s="84"/>
      <c r="AH69" s="7" t="s">
        <v>164</v>
      </c>
      <c r="AI69" s="18">
        <v>47821000</v>
      </c>
      <c r="AN69" s="10" t="s">
        <v>163</v>
      </c>
      <c r="AO69" s="21">
        <v>65130000</v>
      </c>
      <c r="AS69" s="21">
        <v>65130000</v>
      </c>
      <c r="AT69" s="10" t="s">
        <v>131</v>
      </c>
      <c r="AU69" s="78"/>
      <c r="AX69" s="21">
        <v>65130000</v>
      </c>
      <c r="AY69" s="10" t="s">
        <v>131</v>
      </c>
      <c r="AZ69" s="10" t="s">
        <v>163</v>
      </c>
    </row>
    <row r="70" spans="1:52" ht="17" customHeight="1" x14ac:dyDescent="0.25">
      <c r="A70" s="84"/>
      <c r="B70" s="84"/>
      <c r="C70" s="84"/>
      <c r="D70" s="84"/>
      <c r="E70" s="84"/>
      <c r="F70" s="84"/>
      <c r="G70" s="84"/>
      <c r="H70" s="84"/>
      <c r="I70" s="84"/>
      <c r="J70" s="84"/>
      <c r="K70" s="84"/>
      <c r="L70" s="84"/>
      <c r="M70" s="84"/>
      <c r="N70" s="84"/>
      <c r="AH70" s="7" t="s">
        <v>128</v>
      </c>
      <c r="AI70" s="18">
        <v>47642000</v>
      </c>
      <c r="AN70" s="7" t="s">
        <v>141</v>
      </c>
      <c r="AO70" s="18">
        <v>50573000</v>
      </c>
      <c r="AS70" s="18">
        <v>50573000</v>
      </c>
      <c r="AT70" s="7" t="s">
        <v>204</v>
      </c>
      <c r="AU70" s="78"/>
      <c r="AX70" s="18">
        <v>50573000</v>
      </c>
      <c r="AY70" s="7" t="s">
        <v>204</v>
      </c>
      <c r="AZ70" s="7" t="s">
        <v>141</v>
      </c>
    </row>
    <row r="71" spans="1:52" ht="17" customHeight="1" x14ac:dyDescent="0.25">
      <c r="A71" s="84" t="s">
        <v>799</v>
      </c>
      <c r="B71" s="84"/>
      <c r="C71" s="84"/>
      <c r="D71" s="84"/>
      <c r="E71" s="84"/>
      <c r="F71" s="84"/>
      <c r="G71" s="84"/>
      <c r="H71" s="84"/>
      <c r="I71" s="84"/>
      <c r="J71" s="84"/>
      <c r="K71" s="84"/>
      <c r="L71" s="84"/>
      <c r="M71" s="84"/>
      <c r="N71" s="84"/>
      <c r="AH71" s="10" t="s">
        <v>181</v>
      </c>
      <c r="AI71" s="21">
        <v>46939000</v>
      </c>
      <c r="AN71" s="10" t="s">
        <v>141</v>
      </c>
      <c r="AO71" s="21">
        <v>17674000</v>
      </c>
      <c r="AS71" s="21">
        <v>17674000</v>
      </c>
      <c r="AT71" s="10" t="s">
        <v>131</v>
      </c>
      <c r="AU71" s="78"/>
      <c r="AX71" s="21">
        <v>17674000</v>
      </c>
      <c r="AY71" s="10" t="s">
        <v>131</v>
      </c>
      <c r="AZ71" s="10" t="s">
        <v>141</v>
      </c>
    </row>
    <row r="72" spans="1:52" ht="17" customHeight="1" x14ac:dyDescent="0.25">
      <c r="A72" s="84"/>
      <c r="B72" s="84"/>
      <c r="C72" s="84"/>
      <c r="D72" s="84"/>
      <c r="E72" s="84"/>
      <c r="F72" s="84"/>
      <c r="G72" s="84"/>
      <c r="H72" s="84"/>
      <c r="I72" s="84"/>
      <c r="J72" s="84"/>
      <c r="K72" s="84"/>
      <c r="L72" s="84"/>
      <c r="M72" s="84"/>
      <c r="N72" s="84"/>
      <c r="AH72" s="7" t="s">
        <v>280</v>
      </c>
      <c r="AI72" s="18">
        <v>46494000</v>
      </c>
      <c r="AN72" s="7" t="s">
        <v>141</v>
      </c>
      <c r="AO72" s="18">
        <v>63948000</v>
      </c>
      <c r="AS72" s="18">
        <v>63948000</v>
      </c>
      <c r="AT72" s="7" t="s">
        <v>204</v>
      </c>
      <c r="AU72" s="78"/>
      <c r="AX72" s="18">
        <v>63948000</v>
      </c>
      <c r="AY72" s="7" t="s">
        <v>204</v>
      </c>
      <c r="AZ72" s="7" t="s">
        <v>141</v>
      </c>
    </row>
    <row r="73" spans="1:52" ht="17" customHeight="1" x14ac:dyDescent="0.25">
      <c r="A73" s="84" t="s">
        <v>800</v>
      </c>
      <c r="B73" s="84"/>
      <c r="C73" s="84"/>
      <c r="D73" s="84"/>
      <c r="E73" s="84"/>
      <c r="F73" s="84"/>
      <c r="G73" s="84"/>
      <c r="H73" s="84"/>
      <c r="I73" s="84"/>
      <c r="J73" s="84"/>
      <c r="K73" s="84"/>
      <c r="L73" s="84"/>
      <c r="M73" s="84"/>
      <c r="N73" s="84"/>
      <c r="AH73" s="7" t="s">
        <v>164</v>
      </c>
      <c r="AI73" s="18">
        <v>46313000</v>
      </c>
      <c r="AN73" s="10" t="s">
        <v>141</v>
      </c>
      <c r="AO73" s="21">
        <v>51944000</v>
      </c>
      <c r="AS73" s="21">
        <v>51944000</v>
      </c>
      <c r="AT73" s="10" t="s">
        <v>204</v>
      </c>
      <c r="AU73" s="78"/>
      <c r="AX73" s="21">
        <v>51944000</v>
      </c>
      <c r="AY73" s="10" t="s">
        <v>204</v>
      </c>
      <c r="AZ73" s="10" t="s">
        <v>141</v>
      </c>
    </row>
    <row r="74" spans="1:52" ht="17" customHeight="1" x14ac:dyDescent="0.25">
      <c r="A74" s="84"/>
      <c r="B74" s="84"/>
      <c r="C74" s="84"/>
      <c r="D74" s="84"/>
      <c r="E74" s="84"/>
      <c r="F74" s="84"/>
      <c r="G74" s="84"/>
      <c r="H74" s="84"/>
      <c r="I74" s="84"/>
      <c r="J74" s="84"/>
      <c r="K74" s="84"/>
      <c r="L74" s="84"/>
      <c r="M74" s="84"/>
      <c r="N74" s="84"/>
      <c r="AH74" s="7" t="s">
        <v>192</v>
      </c>
      <c r="AI74" s="18">
        <v>45972000</v>
      </c>
      <c r="AN74" s="7" t="s">
        <v>163</v>
      </c>
      <c r="AO74" s="18">
        <v>44987000</v>
      </c>
      <c r="AS74" s="18">
        <v>44987000</v>
      </c>
      <c r="AT74" s="7" t="s">
        <v>131</v>
      </c>
      <c r="AU74" s="78"/>
      <c r="AX74" s="18">
        <v>44987000</v>
      </c>
      <c r="AY74" s="7" t="s">
        <v>131</v>
      </c>
      <c r="AZ74" s="7" t="s">
        <v>163</v>
      </c>
    </row>
    <row r="75" spans="1:52" ht="17" customHeight="1" x14ac:dyDescent="0.25">
      <c r="A75" s="84" t="s">
        <v>803</v>
      </c>
      <c r="B75" s="84"/>
      <c r="C75" s="84"/>
      <c r="D75" s="84"/>
      <c r="E75" s="84"/>
      <c r="F75" s="84"/>
      <c r="G75" s="84"/>
      <c r="H75" s="84"/>
      <c r="I75" s="84"/>
      <c r="J75" s="84"/>
      <c r="K75" s="84"/>
      <c r="L75" s="84"/>
      <c r="M75" s="84"/>
      <c r="N75" s="84"/>
      <c r="AH75" s="7" t="s">
        <v>181</v>
      </c>
      <c r="AI75" s="18">
        <v>45721000</v>
      </c>
      <c r="AN75" s="10" t="s">
        <v>126</v>
      </c>
      <c r="AO75" s="21">
        <v>61468000</v>
      </c>
      <c r="AS75" s="21">
        <v>61468000</v>
      </c>
      <c r="AT75" s="10" t="s">
        <v>194</v>
      </c>
      <c r="AU75" s="78"/>
      <c r="AX75" s="21">
        <v>61468000</v>
      </c>
      <c r="AY75" s="10" t="s">
        <v>194</v>
      </c>
      <c r="AZ75" s="10" t="s">
        <v>126</v>
      </c>
    </row>
    <row r="76" spans="1:52" ht="17" customHeight="1" x14ac:dyDescent="0.25">
      <c r="A76" s="84"/>
      <c r="B76" s="84"/>
      <c r="C76" s="84"/>
      <c r="D76" s="84"/>
      <c r="E76" s="84"/>
      <c r="F76" s="84"/>
      <c r="G76" s="84"/>
      <c r="H76" s="84"/>
      <c r="I76" s="84"/>
      <c r="J76" s="84"/>
      <c r="K76" s="84"/>
      <c r="L76" s="84"/>
      <c r="M76" s="84"/>
      <c r="N76" s="84"/>
      <c r="AH76" s="10" t="s">
        <v>142</v>
      </c>
      <c r="AI76" s="21">
        <v>45127000</v>
      </c>
      <c r="AN76" s="7" t="s">
        <v>141</v>
      </c>
      <c r="AO76" s="18">
        <v>83697000</v>
      </c>
      <c r="AS76" s="18">
        <v>83697000</v>
      </c>
      <c r="AT76" s="7" t="s">
        <v>221</v>
      </c>
      <c r="AU76" s="78"/>
      <c r="AX76" s="18">
        <v>83697000</v>
      </c>
      <c r="AY76" s="7" t="s">
        <v>221</v>
      </c>
      <c r="AZ76" s="7" t="s">
        <v>141</v>
      </c>
    </row>
    <row r="77" spans="1:52" ht="17" customHeight="1" x14ac:dyDescent="0.25">
      <c r="A77" s="84" t="s">
        <v>804</v>
      </c>
      <c r="B77" s="84"/>
      <c r="C77" s="84"/>
      <c r="D77" s="84"/>
      <c r="E77" s="84"/>
      <c r="F77" s="84"/>
      <c r="G77" s="84"/>
      <c r="H77" s="84"/>
      <c r="I77" s="84"/>
      <c r="J77" s="84"/>
      <c r="K77" s="84"/>
      <c r="L77" s="84"/>
      <c r="M77" s="84"/>
      <c r="N77" s="84"/>
      <c r="AH77" s="7" t="s">
        <v>153</v>
      </c>
      <c r="AI77" s="18">
        <v>44987000</v>
      </c>
      <c r="AN77" s="10" t="s">
        <v>163</v>
      </c>
      <c r="AO77" s="21">
        <v>54127000</v>
      </c>
      <c r="AS77" s="21">
        <v>54127000</v>
      </c>
      <c r="AT77" s="10" t="s">
        <v>194</v>
      </c>
      <c r="AU77" s="78"/>
      <c r="AX77" s="21">
        <v>54127000</v>
      </c>
      <c r="AY77" s="10" t="s">
        <v>194</v>
      </c>
      <c r="AZ77" s="10" t="s">
        <v>163</v>
      </c>
    </row>
    <row r="78" spans="1:52" ht="17" customHeight="1" x14ac:dyDescent="0.25">
      <c r="A78" s="84"/>
      <c r="B78" s="84"/>
      <c r="C78" s="84"/>
      <c r="D78" s="84"/>
      <c r="E78" s="84"/>
      <c r="F78" s="84"/>
      <c r="G78" s="84"/>
      <c r="H78" s="84"/>
      <c r="I78" s="84"/>
      <c r="J78" s="84"/>
      <c r="K78" s="84"/>
      <c r="L78" s="84"/>
      <c r="M78" s="84"/>
      <c r="N78" s="84"/>
      <c r="AH78" s="7" t="s">
        <v>280</v>
      </c>
      <c r="AI78" s="18">
        <v>44816000</v>
      </c>
      <c r="AN78" s="7" t="s">
        <v>163</v>
      </c>
      <c r="AO78" s="18">
        <v>33867000</v>
      </c>
      <c r="AS78" s="18">
        <v>33867000</v>
      </c>
      <c r="AT78" s="7" t="s">
        <v>309</v>
      </c>
      <c r="AU78" s="78"/>
      <c r="AX78" s="18">
        <v>33867000</v>
      </c>
      <c r="AY78" s="7" t="s">
        <v>309</v>
      </c>
      <c r="AZ78" s="7" t="s">
        <v>163</v>
      </c>
    </row>
    <row r="79" spans="1:52" ht="17" customHeight="1" x14ac:dyDescent="0.25">
      <c r="A79" s="84" t="s">
        <v>805</v>
      </c>
      <c r="B79" s="84"/>
      <c r="C79" s="84"/>
      <c r="D79" s="84"/>
      <c r="E79" s="84"/>
      <c r="F79" s="84"/>
      <c r="G79" s="84"/>
      <c r="H79" s="84"/>
      <c r="I79" s="84"/>
      <c r="J79" s="84"/>
      <c r="K79" s="84"/>
      <c r="L79" s="84"/>
      <c r="M79" s="84"/>
      <c r="N79" s="84"/>
      <c r="AH79" s="10" t="s">
        <v>280</v>
      </c>
      <c r="AI79" s="21">
        <v>44363000</v>
      </c>
      <c r="AN79" s="10" t="s">
        <v>141</v>
      </c>
      <c r="AO79" s="21">
        <v>46939000</v>
      </c>
      <c r="AS79" s="21">
        <v>46939000</v>
      </c>
      <c r="AT79" s="10" t="s">
        <v>194</v>
      </c>
      <c r="AU79" s="78"/>
      <c r="AX79" s="21">
        <v>46939000</v>
      </c>
      <c r="AY79" s="10" t="s">
        <v>194</v>
      </c>
      <c r="AZ79" s="10" t="s">
        <v>141</v>
      </c>
    </row>
    <row r="80" spans="1:52" ht="17" customHeight="1" x14ac:dyDescent="0.25">
      <c r="A80" s="84"/>
      <c r="B80" s="84"/>
      <c r="C80" s="84"/>
      <c r="D80" s="84"/>
      <c r="E80" s="84"/>
      <c r="F80" s="84"/>
      <c r="G80" s="84"/>
      <c r="H80" s="84"/>
      <c r="I80" s="84"/>
      <c r="J80" s="84"/>
      <c r="K80" s="84"/>
      <c r="L80" s="84"/>
      <c r="M80" s="84"/>
      <c r="N80" s="84"/>
      <c r="AH80" s="7" t="s">
        <v>181</v>
      </c>
      <c r="AI80" s="18">
        <v>44237000</v>
      </c>
      <c r="AN80" s="7" t="s">
        <v>268</v>
      </c>
      <c r="AO80" s="18">
        <v>62682000</v>
      </c>
      <c r="AS80" s="18">
        <v>62682000</v>
      </c>
      <c r="AT80" s="7" t="s">
        <v>204</v>
      </c>
      <c r="AU80" s="78"/>
      <c r="AX80" s="18">
        <v>62682000</v>
      </c>
      <c r="AY80" s="7" t="s">
        <v>204</v>
      </c>
      <c r="AZ80" s="7" t="s">
        <v>268</v>
      </c>
    </row>
    <row r="81" spans="1:52" ht="17" customHeight="1" x14ac:dyDescent="0.25">
      <c r="A81" s="84" t="s">
        <v>801</v>
      </c>
      <c r="B81" s="84"/>
      <c r="C81" s="84"/>
      <c r="D81" s="84"/>
      <c r="E81" s="84"/>
      <c r="F81" s="84"/>
      <c r="G81" s="84"/>
      <c r="H81" s="84"/>
      <c r="I81" s="84"/>
      <c r="J81" s="84"/>
      <c r="K81" s="84"/>
      <c r="L81" s="84"/>
      <c r="M81" s="84"/>
      <c r="N81" s="84"/>
      <c r="AH81" s="10" t="s">
        <v>142</v>
      </c>
      <c r="AI81" s="21">
        <v>44072000</v>
      </c>
      <c r="AN81" s="10" t="s">
        <v>141</v>
      </c>
      <c r="AO81" s="21">
        <v>66595000</v>
      </c>
      <c r="AS81" s="21">
        <v>66595000</v>
      </c>
      <c r="AT81" s="10" t="s">
        <v>221</v>
      </c>
      <c r="AU81" s="78"/>
      <c r="AX81" s="21">
        <v>66595000</v>
      </c>
      <c r="AY81" s="10" t="s">
        <v>221</v>
      </c>
      <c r="AZ81" s="10" t="s">
        <v>141</v>
      </c>
    </row>
    <row r="82" spans="1:52" ht="17" customHeight="1" x14ac:dyDescent="0.25">
      <c r="A82" s="79"/>
      <c r="B82" s="80" t="s">
        <v>57</v>
      </c>
      <c r="C82" s="79"/>
      <c r="D82" s="79"/>
      <c r="E82" s="79"/>
      <c r="F82" s="79"/>
      <c r="G82" s="79"/>
      <c r="H82" s="79"/>
      <c r="I82" s="79"/>
      <c r="J82" s="79"/>
      <c r="K82" s="79"/>
      <c r="L82" s="79"/>
      <c r="M82" s="79"/>
      <c r="N82" s="79"/>
      <c r="O82" s="79"/>
      <c r="AH82" s="7" t="s">
        <v>192</v>
      </c>
      <c r="AI82" s="18">
        <v>43815000</v>
      </c>
      <c r="AN82" s="7" t="s">
        <v>163</v>
      </c>
      <c r="AO82" s="18">
        <v>69271000</v>
      </c>
      <c r="AS82" s="18">
        <v>69271000</v>
      </c>
      <c r="AT82" s="7" t="s">
        <v>194</v>
      </c>
      <c r="AU82" s="78"/>
      <c r="AX82" s="18">
        <v>69271000</v>
      </c>
      <c r="AY82" s="7" t="s">
        <v>194</v>
      </c>
      <c r="AZ82" s="7" t="s">
        <v>163</v>
      </c>
    </row>
    <row r="83" spans="1:52" ht="17" customHeight="1" x14ac:dyDescent="0.2">
      <c r="A83" s="79"/>
      <c r="B83" s="79"/>
      <c r="C83" s="79"/>
      <c r="D83" s="79"/>
      <c r="E83" s="79"/>
      <c r="F83" s="79"/>
      <c r="G83" s="79"/>
      <c r="H83" s="79"/>
      <c r="I83" s="79"/>
      <c r="J83" s="79"/>
      <c r="K83" s="79"/>
      <c r="L83" s="79"/>
      <c r="M83" s="79"/>
      <c r="N83" s="79"/>
      <c r="O83" s="79"/>
      <c r="AH83" s="10" t="s">
        <v>142</v>
      </c>
      <c r="AI83" s="21">
        <v>43385000</v>
      </c>
      <c r="AN83" s="10" t="s">
        <v>141</v>
      </c>
      <c r="AO83" s="21">
        <v>36570000</v>
      </c>
      <c r="AS83" s="21">
        <v>36570000</v>
      </c>
      <c r="AT83" s="10" t="s">
        <v>194</v>
      </c>
      <c r="AU83" s="78"/>
      <c r="AX83" s="21">
        <v>36570000</v>
      </c>
      <c r="AY83" s="10" t="s">
        <v>194</v>
      </c>
      <c r="AZ83" s="10" t="s">
        <v>141</v>
      </c>
    </row>
    <row r="84" spans="1:52" ht="17" customHeight="1" x14ac:dyDescent="0.2">
      <c r="A84" s="79"/>
      <c r="B84" s="79"/>
      <c r="C84" s="79"/>
      <c r="D84" s="79"/>
      <c r="E84" s="79"/>
      <c r="F84" s="79"/>
      <c r="G84" s="79"/>
      <c r="H84" s="79"/>
      <c r="I84" s="79"/>
      <c r="J84" s="79"/>
      <c r="K84" s="79"/>
      <c r="L84" s="79"/>
      <c r="M84" s="79"/>
      <c r="N84" s="79"/>
      <c r="O84" s="79"/>
      <c r="AH84" s="10" t="s">
        <v>280</v>
      </c>
      <c r="AI84" s="21">
        <v>41690000</v>
      </c>
      <c r="AN84" s="7" t="s">
        <v>268</v>
      </c>
      <c r="AO84" s="18">
        <v>23547000</v>
      </c>
      <c r="AS84" s="18">
        <v>23547000</v>
      </c>
      <c r="AT84" s="7" t="s">
        <v>131</v>
      </c>
      <c r="AU84" s="78"/>
      <c r="AX84" s="18">
        <v>23547000</v>
      </c>
      <c r="AY84" s="7" t="s">
        <v>131</v>
      </c>
      <c r="AZ84" s="7" t="s">
        <v>268</v>
      </c>
    </row>
    <row r="85" spans="1:52" ht="17" customHeight="1" x14ac:dyDescent="0.2">
      <c r="A85" s="79"/>
      <c r="B85" s="79"/>
      <c r="C85" s="79"/>
      <c r="D85" s="79"/>
      <c r="E85" s="79"/>
      <c r="F85" s="79"/>
      <c r="G85" s="79"/>
      <c r="H85" s="79"/>
      <c r="I85" s="79"/>
      <c r="J85" s="79"/>
      <c r="K85" s="79"/>
      <c r="L85" s="79"/>
      <c r="M85" s="79"/>
      <c r="N85" s="79"/>
      <c r="O85" s="79"/>
      <c r="AH85" s="10" t="s">
        <v>164</v>
      </c>
      <c r="AI85" s="21">
        <v>40652000</v>
      </c>
      <c r="AN85" s="10" t="s">
        <v>141</v>
      </c>
      <c r="AO85" s="21">
        <v>53559000</v>
      </c>
      <c r="AS85" s="21">
        <v>53559000</v>
      </c>
      <c r="AT85" s="10" t="s">
        <v>155</v>
      </c>
      <c r="AU85" s="78"/>
      <c r="AX85" s="21">
        <v>53559000</v>
      </c>
      <c r="AY85" s="10" t="s">
        <v>155</v>
      </c>
      <c r="AZ85" s="10" t="s">
        <v>141</v>
      </c>
    </row>
    <row r="86" spans="1:52" ht="17" customHeight="1" x14ac:dyDescent="0.25">
      <c r="A86" s="79"/>
      <c r="B86" s="79"/>
      <c r="C86" s="79"/>
      <c r="D86" s="79"/>
      <c r="E86" s="79"/>
      <c r="F86" s="79"/>
      <c r="G86" s="79"/>
      <c r="H86" s="79"/>
      <c r="I86" s="79"/>
      <c r="J86" s="79"/>
      <c r="K86" s="79"/>
      <c r="L86" s="79"/>
      <c r="M86" s="79"/>
      <c r="N86" s="79"/>
      <c r="O86" s="79"/>
      <c r="Y86" s="44" t="s">
        <v>57</v>
      </c>
      <c r="AH86" s="10" t="s">
        <v>142</v>
      </c>
      <c r="AI86" s="21">
        <v>40500000</v>
      </c>
      <c r="AN86" s="7" t="s">
        <v>141</v>
      </c>
      <c r="AO86" s="18">
        <v>71587000</v>
      </c>
      <c r="AS86" s="18">
        <v>71587000</v>
      </c>
      <c r="AT86" s="7" t="s">
        <v>131</v>
      </c>
      <c r="AU86" s="78"/>
      <c r="AX86" s="18">
        <v>71587000</v>
      </c>
      <c r="AY86" s="7" t="s">
        <v>131</v>
      </c>
      <c r="AZ86" s="7" t="s">
        <v>141</v>
      </c>
    </row>
    <row r="87" spans="1:52" ht="17" customHeight="1" x14ac:dyDescent="0.2">
      <c r="A87" s="79"/>
      <c r="B87" s="79"/>
      <c r="C87" s="79"/>
      <c r="D87" s="79"/>
      <c r="E87" s="79"/>
      <c r="F87" s="79"/>
      <c r="G87" s="79"/>
      <c r="H87" s="79"/>
      <c r="I87" s="79"/>
      <c r="J87" s="79"/>
      <c r="K87" s="79"/>
      <c r="L87" s="79"/>
      <c r="M87" s="79"/>
      <c r="N87" s="79"/>
      <c r="O87" s="79"/>
      <c r="AH87" s="7" t="s">
        <v>181</v>
      </c>
      <c r="AI87" s="18">
        <v>39117000</v>
      </c>
      <c r="AN87" s="10" t="s">
        <v>141</v>
      </c>
      <c r="AO87" s="21">
        <v>45127000</v>
      </c>
      <c r="AS87" s="21">
        <v>45127000</v>
      </c>
      <c r="AT87" s="10" t="s">
        <v>204</v>
      </c>
      <c r="AU87" s="78"/>
      <c r="AX87" s="21">
        <v>45127000</v>
      </c>
      <c r="AY87" s="10" t="s">
        <v>204</v>
      </c>
      <c r="AZ87" s="10" t="s">
        <v>141</v>
      </c>
    </row>
    <row r="88" spans="1:52" ht="17" customHeight="1" x14ac:dyDescent="0.2">
      <c r="A88" s="79"/>
      <c r="B88" s="79"/>
      <c r="C88" s="79"/>
      <c r="D88" s="79"/>
      <c r="E88" s="79"/>
      <c r="F88" s="79"/>
      <c r="G88" s="79"/>
      <c r="H88" s="79"/>
      <c r="I88" s="79"/>
      <c r="J88" s="79"/>
      <c r="K88" s="79"/>
      <c r="L88" s="79"/>
      <c r="M88" s="79"/>
      <c r="N88" s="79"/>
      <c r="O88" s="79"/>
      <c r="AH88" s="10" t="s">
        <v>128</v>
      </c>
      <c r="AI88" s="21">
        <v>38846000</v>
      </c>
      <c r="AN88" s="7" t="s">
        <v>233</v>
      </c>
      <c r="AO88" s="18">
        <v>24195000</v>
      </c>
      <c r="AS88" s="18">
        <v>24195000</v>
      </c>
      <c r="AT88" s="7" t="s">
        <v>204</v>
      </c>
      <c r="AU88" s="78"/>
      <c r="AX88" s="18">
        <v>24195000</v>
      </c>
      <c r="AY88" s="7" t="s">
        <v>204</v>
      </c>
      <c r="AZ88" s="7" t="s">
        <v>233</v>
      </c>
    </row>
    <row r="89" spans="1:52" ht="17" customHeight="1" x14ac:dyDescent="0.2">
      <c r="A89" s="79"/>
      <c r="B89" s="79"/>
      <c r="C89" s="79"/>
      <c r="D89" s="79"/>
      <c r="E89" s="79"/>
      <c r="F89" s="79"/>
      <c r="G89" s="79"/>
      <c r="H89" s="79"/>
      <c r="I89" s="79"/>
      <c r="J89" s="79"/>
      <c r="K89" s="79"/>
      <c r="L89" s="79"/>
      <c r="M89" s="79"/>
      <c r="N89" s="79"/>
      <c r="O89" s="79"/>
      <c r="AH89" s="10" t="s">
        <v>280</v>
      </c>
      <c r="AI89" s="21">
        <v>38781000</v>
      </c>
      <c r="AN89" s="10" t="s">
        <v>268</v>
      </c>
      <c r="AO89" s="21">
        <v>37826000</v>
      </c>
      <c r="AS89" s="21">
        <v>37826000</v>
      </c>
      <c r="AT89" s="10" t="s">
        <v>131</v>
      </c>
      <c r="AU89" s="78"/>
      <c r="AX89" s="21">
        <v>37826000</v>
      </c>
      <c r="AY89" s="10" t="s">
        <v>131</v>
      </c>
      <c r="AZ89" s="10" t="s">
        <v>268</v>
      </c>
    </row>
    <row r="90" spans="1:52" ht="17" customHeight="1" x14ac:dyDescent="0.2">
      <c r="A90" s="79"/>
      <c r="B90" s="79"/>
      <c r="C90" s="79"/>
      <c r="D90" s="79"/>
      <c r="E90" s="79"/>
      <c r="F90" s="79"/>
      <c r="G90" s="79"/>
      <c r="H90" s="79"/>
      <c r="I90" s="79"/>
      <c r="J90" s="79"/>
      <c r="K90" s="79"/>
      <c r="L90" s="79"/>
      <c r="M90" s="79"/>
      <c r="N90" s="79"/>
      <c r="O90" s="79"/>
      <c r="AH90" s="7" t="s">
        <v>213</v>
      </c>
      <c r="AI90" s="18">
        <v>38199000</v>
      </c>
      <c r="AN90" s="7" t="s">
        <v>268</v>
      </c>
      <c r="AO90" s="18">
        <v>75382000</v>
      </c>
      <c r="AS90" s="18">
        <v>75382000</v>
      </c>
      <c r="AT90" s="7" t="s">
        <v>194</v>
      </c>
      <c r="AU90" s="78"/>
      <c r="AX90" s="18">
        <v>75382000</v>
      </c>
      <c r="AY90" s="7" t="s">
        <v>194</v>
      </c>
      <c r="AZ90" s="7" t="s">
        <v>268</v>
      </c>
    </row>
    <row r="91" spans="1:52" ht="17" customHeight="1" x14ac:dyDescent="0.2">
      <c r="A91" s="79"/>
      <c r="B91" s="79"/>
      <c r="C91" s="79"/>
      <c r="D91" s="79"/>
      <c r="E91" s="79"/>
      <c r="F91" s="79"/>
      <c r="G91" s="79"/>
      <c r="H91" s="79"/>
      <c r="I91" s="79"/>
      <c r="J91" s="79"/>
      <c r="K91" s="79"/>
      <c r="L91" s="79"/>
      <c r="M91" s="79"/>
      <c r="N91" s="79"/>
      <c r="O91" s="79"/>
      <c r="AH91" s="10" t="s">
        <v>153</v>
      </c>
      <c r="AI91" s="21">
        <v>37826000</v>
      </c>
      <c r="AN91" s="10" t="s">
        <v>163</v>
      </c>
      <c r="AO91" s="21">
        <v>31739000</v>
      </c>
      <c r="AS91" s="21">
        <v>31739000</v>
      </c>
      <c r="AT91" s="10" t="s">
        <v>221</v>
      </c>
      <c r="AU91" s="78"/>
      <c r="AX91" s="21">
        <v>31739000</v>
      </c>
      <c r="AY91" s="10" t="s">
        <v>221</v>
      </c>
      <c r="AZ91" s="10" t="s">
        <v>163</v>
      </c>
    </row>
    <row r="92" spans="1:52" ht="17" customHeight="1" x14ac:dyDescent="0.2">
      <c r="A92" s="79"/>
      <c r="B92" s="79"/>
      <c r="C92" s="79"/>
      <c r="D92" s="79"/>
      <c r="E92" s="79"/>
      <c r="F92" s="79"/>
      <c r="G92" s="79"/>
      <c r="H92" s="79"/>
      <c r="I92" s="79"/>
      <c r="J92" s="79"/>
      <c r="K92" s="79"/>
      <c r="L92" s="79"/>
      <c r="M92" s="79"/>
      <c r="N92" s="79"/>
      <c r="O92" s="79"/>
      <c r="AH92" s="10" t="s">
        <v>153</v>
      </c>
      <c r="AI92" s="21">
        <v>37514000</v>
      </c>
      <c r="AN92" s="7" t="s">
        <v>126</v>
      </c>
      <c r="AO92" s="18">
        <v>80211000</v>
      </c>
      <c r="AS92" s="18">
        <v>80211000</v>
      </c>
      <c r="AT92" s="7" t="s">
        <v>221</v>
      </c>
      <c r="AU92" s="78"/>
      <c r="AX92" s="18">
        <v>80211000</v>
      </c>
      <c r="AY92" s="7" t="s">
        <v>221</v>
      </c>
      <c r="AZ92" s="7" t="s">
        <v>126</v>
      </c>
    </row>
    <row r="93" spans="1:52" ht="17" customHeight="1" x14ac:dyDescent="0.2">
      <c r="A93" s="79"/>
      <c r="B93" s="79"/>
      <c r="C93" s="79"/>
      <c r="D93" s="79"/>
      <c r="E93" s="79"/>
      <c r="F93" s="79"/>
      <c r="G93" s="79"/>
      <c r="H93" s="79"/>
      <c r="I93" s="79"/>
      <c r="J93" s="79"/>
      <c r="K93" s="79"/>
      <c r="L93" s="79"/>
      <c r="M93" s="79"/>
      <c r="N93" s="79"/>
      <c r="O93" s="79"/>
      <c r="AH93" s="10" t="s">
        <v>153</v>
      </c>
      <c r="AI93" s="21">
        <v>37378000</v>
      </c>
      <c r="AN93" s="10" t="s">
        <v>126</v>
      </c>
      <c r="AO93" s="21">
        <v>84112000</v>
      </c>
      <c r="AS93" s="21">
        <v>84112000</v>
      </c>
      <c r="AT93" s="10" t="s">
        <v>194</v>
      </c>
      <c r="AU93" s="78"/>
      <c r="AX93" s="21">
        <v>84112000</v>
      </c>
      <c r="AY93" s="10" t="s">
        <v>194</v>
      </c>
      <c r="AZ93" s="10" t="s">
        <v>126</v>
      </c>
    </row>
    <row r="94" spans="1:52" ht="17" customHeight="1" x14ac:dyDescent="0.2">
      <c r="A94" s="79"/>
      <c r="B94" s="79"/>
      <c r="C94" s="79"/>
      <c r="D94" s="79"/>
      <c r="E94" s="79"/>
      <c r="F94" s="79"/>
      <c r="G94" s="79"/>
      <c r="H94" s="79"/>
      <c r="I94" s="79"/>
      <c r="J94" s="79"/>
      <c r="K94" s="79"/>
      <c r="L94" s="79"/>
      <c r="M94" s="79"/>
      <c r="N94" s="79"/>
      <c r="O94" s="79"/>
      <c r="AH94" s="10" t="s">
        <v>213</v>
      </c>
      <c r="AI94" s="21">
        <v>37357000</v>
      </c>
      <c r="AN94" s="7" t="s">
        <v>141</v>
      </c>
      <c r="AO94" s="18">
        <v>60886000</v>
      </c>
      <c r="AS94" s="18">
        <v>60886000</v>
      </c>
      <c r="AT94" s="7" t="s">
        <v>204</v>
      </c>
      <c r="AU94" s="78"/>
      <c r="AX94" s="18">
        <v>60886000</v>
      </c>
      <c r="AY94" s="7" t="s">
        <v>204</v>
      </c>
      <c r="AZ94" s="7" t="s">
        <v>141</v>
      </c>
    </row>
    <row r="95" spans="1:52" ht="17" customHeight="1" x14ac:dyDescent="0.2">
      <c r="A95" s="79"/>
      <c r="B95" s="79"/>
      <c r="C95" s="79"/>
      <c r="D95" s="79"/>
      <c r="E95" s="79"/>
      <c r="F95" s="79"/>
      <c r="G95" s="79"/>
      <c r="H95" s="79"/>
      <c r="I95" s="79"/>
      <c r="J95" s="79"/>
      <c r="K95" s="79"/>
      <c r="L95" s="79"/>
      <c r="M95" s="79"/>
      <c r="N95" s="79"/>
      <c r="O95" s="79"/>
      <c r="AH95" s="7" t="s">
        <v>192</v>
      </c>
      <c r="AI95" s="18">
        <v>37047000</v>
      </c>
      <c r="AN95" s="10" t="s">
        <v>233</v>
      </c>
      <c r="AO95" s="21">
        <v>36502000</v>
      </c>
      <c r="AS95" s="21">
        <v>36502000</v>
      </c>
      <c r="AT95" s="10" t="s">
        <v>194</v>
      </c>
      <c r="AU95" s="78"/>
      <c r="AX95" s="21">
        <v>36502000</v>
      </c>
      <c r="AY95" s="10" t="s">
        <v>194</v>
      </c>
      <c r="AZ95" s="10" t="s">
        <v>233</v>
      </c>
    </row>
    <row r="96" spans="1:52" ht="17" customHeight="1" x14ac:dyDescent="0.2">
      <c r="A96" s="79"/>
      <c r="B96" s="79"/>
      <c r="C96" s="79"/>
      <c r="D96" s="79"/>
      <c r="E96" s="79"/>
      <c r="F96" s="79"/>
      <c r="G96" s="79"/>
      <c r="H96" s="79"/>
      <c r="I96" s="79"/>
      <c r="J96" s="79"/>
      <c r="K96" s="79"/>
      <c r="L96" s="79"/>
      <c r="M96" s="79"/>
      <c r="N96" s="79"/>
      <c r="O96" s="79"/>
      <c r="AH96" s="10" t="s">
        <v>128</v>
      </c>
      <c r="AI96" s="21">
        <v>37039000</v>
      </c>
      <c r="AN96" s="7" t="s">
        <v>141</v>
      </c>
      <c r="AO96" s="18">
        <v>61164000</v>
      </c>
      <c r="AS96" s="18">
        <v>61164000</v>
      </c>
      <c r="AT96" s="7" t="s">
        <v>309</v>
      </c>
      <c r="AU96" s="78"/>
      <c r="AX96" s="18">
        <v>61164000</v>
      </c>
      <c r="AY96" s="7" t="s">
        <v>309</v>
      </c>
      <c r="AZ96" s="7" t="s">
        <v>141</v>
      </c>
    </row>
    <row r="97" spans="1:52" ht="17" customHeight="1" x14ac:dyDescent="0.2">
      <c r="A97" s="79"/>
      <c r="B97" s="79"/>
      <c r="C97" s="79"/>
      <c r="D97" s="79"/>
      <c r="E97" s="79"/>
      <c r="F97" s="79"/>
      <c r="G97" s="79"/>
      <c r="H97" s="79"/>
      <c r="I97" s="79"/>
      <c r="J97" s="79"/>
      <c r="K97" s="79"/>
      <c r="L97" s="79"/>
      <c r="M97" s="79"/>
      <c r="N97" s="79"/>
      <c r="O97" s="79"/>
      <c r="AH97" s="7" t="s">
        <v>192</v>
      </c>
      <c r="AI97" s="18">
        <v>36801000</v>
      </c>
      <c r="AN97" s="10" t="s">
        <v>126</v>
      </c>
      <c r="AO97" s="21">
        <v>15012000</v>
      </c>
      <c r="AS97" s="21">
        <v>15012000</v>
      </c>
      <c r="AT97" s="10" t="s">
        <v>204</v>
      </c>
      <c r="AU97" s="78"/>
      <c r="AX97" s="21">
        <v>15012000</v>
      </c>
      <c r="AY97" s="10" t="s">
        <v>204</v>
      </c>
      <c r="AZ97" s="10" t="s">
        <v>126</v>
      </c>
    </row>
    <row r="98" spans="1:52" ht="17" customHeight="1" x14ac:dyDescent="0.2">
      <c r="A98" s="79"/>
      <c r="B98" s="79"/>
      <c r="C98" s="79"/>
      <c r="D98" s="79"/>
      <c r="E98" s="79"/>
      <c r="F98" s="79"/>
      <c r="G98" s="79"/>
      <c r="H98" s="79"/>
      <c r="I98" s="79"/>
      <c r="J98" s="79"/>
      <c r="K98" s="79"/>
      <c r="L98" s="79"/>
      <c r="M98" s="79"/>
      <c r="N98" s="79"/>
      <c r="O98" s="79"/>
      <c r="AH98" s="7" t="s">
        <v>280</v>
      </c>
      <c r="AI98" s="18">
        <v>36572000</v>
      </c>
      <c r="AN98" s="7" t="s">
        <v>163</v>
      </c>
      <c r="AO98" s="18">
        <v>72484000</v>
      </c>
      <c r="AS98" s="18">
        <v>72484000</v>
      </c>
      <c r="AT98" s="7" t="s">
        <v>194</v>
      </c>
      <c r="AU98" s="78"/>
      <c r="AX98" s="18">
        <v>72484000</v>
      </c>
      <c r="AY98" s="7" t="s">
        <v>194</v>
      </c>
      <c r="AZ98" s="7" t="s">
        <v>163</v>
      </c>
    </row>
    <row r="99" spans="1:52" ht="17" customHeight="1" x14ac:dyDescent="0.2">
      <c r="A99" s="79"/>
      <c r="B99" s="79"/>
      <c r="C99" s="79"/>
      <c r="D99" s="79"/>
      <c r="E99" s="79"/>
      <c r="F99" s="79"/>
      <c r="G99" s="79"/>
      <c r="H99" s="79"/>
      <c r="I99" s="79"/>
      <c r="J99" s="79"/>
      <c r="K99" s="79"/>
      <c r="L99" s="79"/>
      <c r="M99" s="79"/>
      <c r="N99" s="79"/>
      <c r="O99" s="79"/>
      <c r="AH99" s="10" t="s">
        <v>128</v>
      </c>
      <c r="AI99" s="21">
        <v>36570000</v>
      </c>
      <c r="AN99" s="10" t="s">
        <v>163</v>
      </c>
      <c r="AO99" s="21">
        <v>25524000</v>
      </c>
      <c r="AS99" s="21">
        <v>25524000</v>
      </c>
      <c r="AT99" s="10" t="s">
        <v>204</v>
      </c>
      <c r="AU99" s="78"/>
      <c r="AX99" s="21">
        <v>25524000</v>
      </c>
      <c r="AY99" s="10" t="s">
        <v>204</v>
      </c>
      <c r="AZ99" s="10" t="s">
        <v>163</v>
      </c>
    </row>
    <row r="100" spans="1:52" ht="17" customHeight="1" x14ac:dyDescent="0.2">
      <c r="A100" s="79"/>
      <c r="B100" s="79"/>
      <c r="C100" s="79"/>
      <c r="D100" s="79"/>
      <c r="E100" s="79"/>
      <c r="F100" s="79"/>
      <c r="G100" s="79"/>
      <c r="H100" s="79"/>
      <c r="I100" s="79"/>
      <c r="J100" s="79"/>
      <c r="K100" s="79"/>
      <c r="L100" s="79"/>
      <c r="M100" s="79"/>
      <c r="N100" s="79"/>
      <c r="O100" s="79"/>
      <c r="AH100" s="10" t="s">
        <v>128</v>
      </c>
      <c r="AI100" s="21">
        <v>36502000</v>
      </c>
      <c r="AN100" s="7" t="s">
        <v>126</v>
      </c>
      <c r="AO100" s="18">
        <v>63679000</v>
      </c>
      <c r="AS100" s="18">
        <v>63679000</v>
      </c>
      <c r="AT100" s="7" t="s">
        <v>131</v>
      </c>
      <c r="AU100" s="78"/>
      <c r="AX100" s="18">
        <v>63679000</v>
      </c>
      <c r="AY100" s="7" t="s">
        <v>131</v>
      </c>
      <c r="AZ100" s="7" t="s">
        <v>126</v>
      </c>
    </row>
    <row r="101" spans="1:52" ht="17" customHeight="1" x14ac:dyDescent="0.2">
      <c r="A101" s="79"/>
      <c r="B101" s="79"/>
      <c r="C101" s="79"/>
      <c r="D101" s="79"/>
      <c r="E101" s="79"/>
      <c r="F101" s="79"/>
      <c r="G101" s="79"/>
      <c r="H101" s="79"/>
      <c r="I101" s="79"/>
      <c r="J101" s="79"/>
      <c r="K101" s="79"/>
      <c r="L101" s="79"/>
      <c r="M101" s="79"/>
      <c r="N101" s="79"/>
      <c r="O101" s="79"/>
      <c r="AH101" s="7" t="s">
        <v>280</v>
      </c>
      <c r="AI101" s="18">
        <v>36250000</v>
      </c>
      <c r="AN101" s="10" t="s">
        <v>163</v>
      </c>
      <c r="AO101" s="21">
        <v>22726000</v>
      </c>
      <c r="AS101" s="21">
        <v>22726000</v>
      </c>
      <c r="AT101" s="10" t="s">
        <v>155</v>
      </c>
      <c r="AU101" s="78"/>
      <c r="AX101" s="21">
        <v>22726000</v>
      </c>
      <c r="AY101" s="10" t="s">
        <v>155</v>
      </c>
      <c r="AZ101" s="10" t="s">
        <v>163</v>
      </c>
    </row>
    <row r="102" spans="1:52" ht="17" customHeight="1" x14ac:dyDescent="0.2">
      <c r="A102" s="79"/>
      <c r="B102" s="79"/>
      <c r="C102" s="79"/>
      <c r="D102" s="79"/>
      <c r="E102" s="79"/>
      <c r="F102" s="79"/>
      <c r="G102" s="79"/>
      <c r="H102" s="79"/>
      <c r="I102" s="79"/>
      <c r="J102" s="79"/>
      <c r="K102" s="79"/>
      <c r="L102" s="79"/>
      <c r="M102" s="79"/>
      <c r="N102" s="79"/>
      <c r="O102" s="79"/>
      <c r="AH102" s="7" t="s">
        <v>128</v>
      </c>
      <c r="AI102" s="18">
        <v>35648000</v>
      </c>
      <c r="AN102" s="7" t="s">
        <v>126</v>
      </c>
      <c r="AO102" s="18">
        <v>54273000</v>
      </c>
      <c r="AS102" s="18">
        <v>54273000</v>
      </c>
      <c r="AT102" s="7" t="s">
        <v>309</v>
      </c>
      <c r="AU102" s="78"/>
      <c r="AX102" s="18">
        <v>54273000</v>
      </c>
      <c r="AY102" s="7" t="s">
        <v>309</v>
      </c>
      <c r="AZ102" s="7" t="s">
        <v>126</v>
      </c>
    </row>
    <row r="103" spans="1:52" ht="17" customHeight="1" x14ac:dyDescent="0.2">
      <c r="A103" s="82"/>
      <c r="B103" s="82"/>
      <c r="C103" s="82"/>
      <c r="D103" s="82"/>
      <c r="E103" s="82"/>
      <c r="F103" s="82"/>
      <c r="G103" s="82"/>
      <c r="H103" s="82"/>
      <c r="I103" s="79"/>
      <c r="J103" s="79"/>
      <c r="K103" s="79"/>
      <c r="L103" s="79"/>
      <c r="M103" s="79"/>
      <c r="N103" s="79"/>
      <c r="O103" s="79"/>
      <c r="AH103" s="10" t="s">
        <v>164</v>
      </c>
      <c r="AI103" s="21">
        <v>34840000</v>
      </c>
      <c r="AN103" s="10" t="s">
        <v>163</v>
      </c>
      <c r="AO103" s="21">
        <v>34506000</v>
      </c>
      <c r="AS103" s="21">
        <v>34506000</v>
      </c>
      <c r="AT103" s="10" t="s">
        <v>194</v>
      </c>
      <c r="AU103" s="78"/>
      <c r="AX103" s="21">
        <v>34506000</v>
      </c>
      <c r="AY103" s="10" t="s">
        <v>194</v>
      </c>
      <c r="AZ103" s="10" t="s">
        <v>163</v>
      </c>
    </row>
    <row r="104" spans="1:52" ht="17" customHeight="1" x14ac:dyDescent="0.2">
      <c r="I104" s="81"/>
      <c r="J104" s="79"/>
      <c r="K104" s="79"/>
      <c r="L104" s="79"/>
      <c r="M104" s="79"/>
      <c r="N104" s="79"/>
      <c r="O104" s="79"/>
      <c r="AH104" s="7" t="s">
        <v>153</v>
      </c>
      <c r="AI104" s="18">
        <v>34559000</v>
      </c>
      <c r="AN104" s="7" t="s">
        <v>126</v>
      </c>
      <c r="AO104" s="18">
        <v>79719000</v>
      </c>
      <c r="AS104" s="18">
        <v>79719000</v>
      </c>
      <c r="AT104" s="7" t="s">
        <v>221</v>
      </c>
      <c r="AU104" s="78"/>
      <c r="AX104" s="18">
        <v>79719000</v>
      </c>
      <c r="AY104" s="7" t="s">
        <v>221</v>
      </c>
      <c r="AZ104" s="7" t="s">
        <v>126</v>
      </c>
    </row>
    <row r="105" spans="1:52" ht="17" customHeight="1" x14ac:dyDescent="0.2">
      <c r="I105" s="81"/>
      <c r="J105" s="79"/>
      <c r="K105" s="79"/>
      <c r="L105" s="79"/>
      <c r="M105" s="79"/>
      <c r="N105" s="79"/>
      <c r="O105" s="79"/>
      <c r="AH105" s="10" t="s">
        <v>213</v>
      </c>
      <c r="AI105" s="21">
        <v>34506000</v>
      </c>
      <c r="AN105" s="10" t="s">
        <v>126</v>
      </c>
      <c r="AO105" s="21">
        <v>41690000</v>
      </c>
      <c r="AS105" s="21">
        <v>41690000</v>
      </c>
      <c r="AT105" s="10" t="s">
        <v>194</v>
      </c>
      <c r="AU105" s="78"/>
      <c r="AX105" s="21">
        <v>41690000</v>
      </c>
      <c r="AY105" s="10" t="s">
        <v>194</v>
      </c>
      <c r="AZ105" s="10" t="s">
        <v>126</v>
      </c>
    </row>
    <row r="106" spans="1:52" ht="17" customHeight="1" x14ac:dyDescent="0.2">
      <c r="I106" s="81"/>
      <c r="J106" s="79"/>
      <c r="K106" s="79"/>
      <c r="L106" s="79"/>
      <c r="M106" s="79"/>
      <c r="N106" s="79"/>
      <c r="O106" s="79"/>
      <c r="AH106" s="7" t="s">
        <v>153</v>
      </c>
      <c r="AI106" s="18">
        <v>33867000</v>
      </c>
      <c r="AN106" s="7" t="s">
        <v>141</v>
      </c>
      <c r="AO106" s="18">
        <v>58586000</v>
      </c>
      <c r="AS106" s="18">
        <v>58586000</v>
      </c>
      <c r="AT106" s="7" t="s">
        <v>204</v>
      </c>
      <c r="AU106" s="78"/>
      <c r="AX106" s="18">
        <v>58586000</v>
      </c>
      <c r="AY106" s="7" t="s">
        <v>204</v>
      </c>
      <c r="AZ106" s="7" t="s">
        <v>141</v>
      </c>
    </row>
    <row r="107" spans="1:52" ht="17" customHeight="1" x14ac:dyDescent="0.2">
      <c r="I107" s="81"/>
      <c r="J107" s="79"/>
      <c r="K107" s="79"/>
      <c r="L107" s="79"/>
      <c r="M107" s="79"/>
      <c r="N107" s="79"/>
      <c r="O107" s="79"/>
      <c r="AH107" s="10" t="s">
        <v>280</v>
      </c>
      <c r="AI107" s="21">
        <v>33309000</v>
      </c>
      <c r="AN107" s="10" t="s">
        <v>126</v>
      </c>
      <c r="AO107" s="21">
        <v>37039000</v>
      </c>
      <c r="AS107" s="21">
        <v>37039000</v>
      </c>
      <c r="AT107" s="10" t="s">
        <v>155</v>
      </c>
      <c r="AU107" s="78"/>
      <c r="AX107" s="21">
        <v>37039000</v>
      </c>
      <c r="AY107" s="10" t="s">
        <v>155</v>
      </c>
      <c r="AZ107" s="10" t="s">
        <v>126</v>
      </c>
    </row>
    <row r="108" spans="1:52" ht="17" customHeight="1" x14ac:dyDescent="0.2">
      <c r="I108" s="81"/>
      <c r="J108" s="79"/>
      <c r="K108" s="79"/>
      <c r="L108" s="79"/>
      <c r="M108" s="79"/>
      <c r="N108" s="79"/>
      <c r="O108" s="79"/>
      <c r="AH108" s="10" t="s">
        <v>213</v>
      </c>
      <c r="AI108" s="21">
        <v>33003000</v>
      </c>
      <c r="AN108" s="7" t="s">
        <v>163</v>
      </c>
      <c r="AO108" s="18">
        <v>44237000</v>
      </c>
      <c r="AS108" s="18">
        <v>44237000</v>
      </c>
      <c r="AT108" s="7" t="s">
        <v>131</v>
      </c>
      <c r="AU108" s="78"/>
      <c r="AX108" s="18">
        <v>44237000</v>
      </c>
      <c r="AY108" s="7" t="s">
        <v>131</v>
      </c>
      <c r="AZ108" s="7" t="s">
        <v>163</v>
      </c>
    </row>
    <row r="109" spans="1:52" ht="17" customHeight="1" x14ac:dyDescent="0.2">
      <c r="I109" s="81"/>
      <c r="J109" s="79"/>
      <c r="K109" s="79"/>
      <c r="L109" s="79"/>
      <c r="M109" s="79"/>
      <c r="N109" s="79"/>
      <c r="O109" s="79"/>
      <c r="AH109" s="10" t="s">
        <v>128</v>
      </c>
      <c r="AI109" s="21">
        <v>31739000</v>
      </c>
      <c r="AN109" s="10" t="s">
        <v>163</v>
      </c>
      <c r="AO109" s="21">
        <v>44072000</v>
      </c>
      <c r="AS109" s="21">
        <v>44072000</v>
      </c>
      <c r="AT109" s="10" t="s">
        <v>204</v>
      </c>
      <c r="AU109" s="78"/>
      <c r="AX109" s="21">
        <v>44072000</v>
      </c>
      <c r="AY109" s="10" t="s">
        <v>204</v>
      </c>
      <c r="AZ109" s="10" t="s">
        <v>163</v>
      </c>
    </row>
    <row r="110" spans="1:52" ht="17" customHeight="1" x14ac:dyDescent="0.2">
      <c r="I110" s="81"/>
      <c r="J110" s="79"/>
      <c r="K110" s="79"/>
      <c r="L110" s="79"/>
      <c r="M110" s="79"/>
      <c r="N110" s="79"/>
      <c r="O110" s="79"/>
      <c r="AH110" s="10" t="s">
        <v>213</v>
      </c>
      <c r="AI110" s="21">
        <v>31272000</v>
      </c>
      <c r="AN110" s="7" t="s">
        <v>141</v>
      </c>
      <c r="AO110" s="18">
        <v>37047000</v>
      </c>
      <c r="AS110" s="18">
        <v>37047000</v>
      </c>
      <c r="AT110" s="7" t="s">
        <v>194</v>
      </c>
      <c r="AU110" s="78"/>
      <c r="AX110" s="18">
        <v>37047000</v>
      </c>
      <c r="AY110" s="7" t="s">
        <v>194</v>
      </c>
      <c r="AZ110" s="7" t="s">
        <v>141</v>
      </c>
    </row>
    <row r="111" spans="1:52" ht="17" customHeight="1" x14ac:dyDescent="0.2">
      <c r="I111" s="81"/>
      <c r="J111" s="79"/>
      <c r="K111" s="79"/>
      <c r="L111" s="79"/>
      <c r="M111" s="79"/>
      <c r="N111" s="79"/>
      <c r="O111" s="79"/>
      <c r="AH111" s="7" t="s">
        <v>142</v>
      </c>
      <c r="AI111" s="18">
        <v>30412000</v>
      </c>
      <c r="AN111" s="10" t="s">
        <v>141</v>
      </c>
      <c r="AO111" s="21">
        <v>21232000</v>
      </c>
      <c r="AS111" s="21">
        <v>21232000</v>
      </c>
      <c r="AT111" s="10" t="s">
        <v>131</v>
      </c>
      <c r="AU111" s="78"/>
      <c r="AX111" s="21">
        <v>21232000</v>
      </c>
      <c r="AY111" s="10" t="s">
        <v>131</v>
      </c>
      <c r="AZ111" s="10" t="s">
        <v>141</v>
      </c>
    </row>
    <row r="112" spans="1:52" ht="17" customHeight="1" x14ac:dyDescent="0.2">
      <c r="I112" s="81"/>
      <c r="J112" s="79"/>
      <c r="K112" s="79"/>
      <c r="L112" s="79"/>
      <c r="M112" s="79"/>
      <c r="N112" s="79"/>
      <c r="O112" s="79"/>
      <c r="AH112" s="7" t="s">
        <v>142</v>
      </c>
      <c r="AI112" s="18">
        <v>29495000</v>
      </c>
      <c r="AN112" s="7" t="s">
        <v>141</v>
      </c>
      <c r="AO112" s="18">
        <v>70591000</v>
      </c>
      <c r="AS112" s="18">
        <v>70591000</v>
      </c>
      <c r="AT112" s="7" t="s">
        <v>155</v>
      </c>
      <c r="AU112" s="78"/>
      <c r="AX112" s="18">
        <v>70591000</v>
      </c>
      <c r="AY112" s="7" t="s">
        <v>155</v>
      </c>
      <c r="AZ112" s="7" t="s">
        <v>141</v>
      </c>
    </row>
    <row r="113" spans="1:52" ht="17" customHeight="1" x14ac:dyDescent="0.2">
      <c r="I113" s="81"/>
      <c r="J113" s="79"/>
      <c r="K113" s="79"/>
      <c r="L113" s="79"/>
      <c r="M113" s="79"/>
      <c r="N113" s="79"/>
      <c r="O113" s="79"/>
      <c r="AH113" s="10" t="s">
        <v>164</v>
      </c>
      <c r="AI113" s="21">
        <v>28600000</v>
      </c>
      <c r="AN113" s="10" t="s">
        <v>141</v>
      </c>
      <c r="AO113" s="21">
        <v>69176000</v>
      </c>
      <c r="AS113" s="21">
        <v>69176000</v>
      </c>
      <c r="AT113" s="10" t="s">
        <v>194</v>
      </c>
      <c r="AU113" s="78"/>
      <c r="AX113" s="21">
        <v>69176000</v>
      </c>
      <c r="AY113" s="10" t="s">
        <v>194</v>
      </c>
      <c r="AZ113" s="10" t="s">
        <v>141</v>
      </c>
    </row>
    <row r="114" spans="1:52" ht="17" customHeight="1" x14ac:dyDescent="0.2">
      <c r="I114" s="81"/>
      <c r="J114" s="79"/>
      <c r="K114" s="79"/>
      <c r="L114" s="79"/>
      <c r="M114" s="79"/>
      <c r="N114" s="79"/>
      <c r="O114" s="79"/>
      <c r="AH114" s="7" t="s">
        <v>142</v>
      </c>
      <c r="AI114" s="18">
        <v>27475000</v>
      </c>
      <c r="AN114" s="7" t="s">
        <v>141</v>
      </c>
      <c r="AO114" s="18">
        <v>73489000</v>
      </c>
      <c r="AS114" s="18">
        <v>73489000</v>
      </c>
      <c r="AT114" s="7" t="s">
        <v>204</v>
      </c>
      <c r="AU114" s="78"/>
      <c r="AX114" s="18">
        <v>73489000</v>
      </c>
      <c r="AY114" s="7" t="s">
        <v>204</v>
      </c>
      <c r="AZ114" s="7" t="s">
        <v>141</v>
      </c>
    </row>
    <row r="115" spans="1:52" ht="17" customHeight="1" x14ac:dyDescent="0.2">
      <c r="I115" s="81"/>
      <c r="J115" s="79"/>
      <c r="K115" s="79"/>
      <c r="L115" s="79"/>
      <c r="M115" s="79"/>
      <c r="N115" s="79"/>
      <c r="O115" s="79"/>
      <c r="AH115" s="10" t="s">
        <v>213</v>
      </c>
      <c r="AI115" s="21">
        <v>27301000</v>
      </c>
      <c r="AN115" s="10" t="s">
        <v>163</v>
      </c>
      <c r="AO115" s="21">
        <v>4215000</v>
      </c>
      <c r="AS115" s="21">
        <v>4215000</v>
      </c>
      <c r="AT115" s="10" t="s">
        <v>204</v>
      </c>
      <c r="AU115" s="78"/>
      <c r="AX115" s="21">
        <v>4215000</v>
      </c>
      <c r="AY115" s="10" t="s">
        <v>204</v>
      </c>
      <c r="AZ115" s="10" t="s">
        <v>163</v>
      </c>
    </row>
    <row r="116" spans="1:52" ht="17" customHeight="1" x14ac:dyDescent="0.2">
      <c r="I116" s="81"/>
      <c r="J116" s="79"/>
      <c r="K116" s="79"/>
      <c r="L116" s="79"/>
      <c r="M116" s="79"/>
      <c r="N116" s="79"/>
      <c r="O116" s="79"/>
      <c r="AH116" s="10" t="s">
        <v>164</v>
      </c>
      <c r="AI116" s="21">
        <v>25524000</v>
      </c>
      <c r="AN116" s="7" t="s">
        <v>126</v>
      </c>
      <c r="AO116" s="18">
        <v>51865000</v>
      </c>
      <c r="AS116" s="18">
        <v>51865000</v>
      </c>
      <c r="AT116" s="7" t="s">
        <v>131</v>
      </c>
      <c r="AU116" s="78"/>
      <c r="AX116" s="18">
        <v>51865000</v>
      </c>
      <c r="AY116" s="7" t="s">
        <v>131</v>
      </c>
      <c r="AZ116" s="7" t="s">
        <v>126</v>
      </c>
    </row>
    <row r="117" spans="1:52" ht="17" customHeight="1" x14ac:dyDescent="0.2">
      <c r="I117" s="81"/>
      <c r="J117" s="79"/>
      <c r="K117" s="79"/>
      <c r="L117" s="79"/>
      <c r="M117" s="79"/>
      <c r="N117" s="79"/>
      <c r="O117" s="79"/>
      <c r="AH117" s="10" t="s">
        <v>128</v>
      </c>
      <c r="AI117" s="21">
        <v>25009000</v>
      </c>
      <c r="AN117" s="10" t="s">
        <v>141</v>
      </c>
      <c r="AO117" s="21">
        <v>80717000</v>
      </c>
      <c r="AS117" s="21">
        <v>80717000</v>
      </c>
      <c r="AT117" s="10" t="s">
        <v>194</v>
      </c>
      <c r="AU117" s="78"/>
      <c r="AX117" s="21">
        <v>80717000</v>
      </c>
      <c r="AY117" s="10" t="s">
        <v>194</v>
      </c>
      <c r="AZ117" s="10" t="s">
        <v>141</v>
      </c>
    </row>
    <row r="118" spans="1:52" ht="17" customHeight="1" x14ac:dyDescent="0.2">
      <c r="A118" s="83"/>
      <c r="B118" s="83"/>
      <c r="C118" s="83"/>
      <c r="D118" s="83"/>
      <c r="E118" s="83"/>
      <c r="F118" s="83"/>
      <c r="G118" s="83"/>
      <c r="H118" s="83"/>
      <c r="I118" s="79"/>
      <c r="J118" s="79"/>
      <c r="K118" s="79"/>
      <c r="L118" s="79"/>
      <c r="M118" s="79"/>
      <c r="N118" s="79"/>
      <c r="O118" s="79"/>
      <c r="AH118" s="7" t="s">
        <v>128</v>
      </c>
      <c r="AI118" s="18">
        <v>24564000</v>
      </c>
      <c r="AN118" s="7" t="s">
        <v>163</v>
      </c>
      <c r="AO118" s="18">
        <v>9409000</v>
      </c>
      <c r="AS118" s="18">
        <v>9409000</v>
      </c>
      <c r="AT118" s="7" t="s">
        <v>131</v>
      </c>
      <c r="AU118" s="78"/>
      <c r="AX118" s="18">
        <v>9409000</v>
      </c>
      <c r="AY118" s="7" t="s">
        <v>131</v>
      </c>
      <c r="AZ118" s="7" t="s">
        <v>163</v>
      </c>
    </row>
    <row r="119" spans="1:52" ht="17" customHeight="1" x14ac:dyDescent="0.2">
      <c r="A119" s="79"/>
      <c r="B119" s="79"/>
      <c r="C119" s="79"/>
      <c r="D119" s="79"/>
      <c r="E119" s="79"/>
      <c r="F119" s="79"/>
      <c r="G119" s="79"/>
      <c r="H119" s="79"/>
      <c r="I119" s="79"/>
      <c r="J119" s="79"/>
      <c r="K119" s="79"/>
      <c r="L119" s="79"/>
      <c r="M119" s="79"/>
      <c r="N119" s="79"/>
      <c r="O119" s="79"/>
      <c r="AH119" s="7" t="s">
        <v>164</v>
      </c>
      <c r="AI119" s="18">
        <v>24389000</v>
      </c>
      <c r="AN119" s="10" t="s">
        <v>141</v>
      </c>
      <c r="AO119" s="21">
        <v>14106000</v>
      </c>
      <c r="AS119" s="21">
        <v>14106000</v>
      </c>
      <c r="AT119" s="10" t="s">
        <v>221</v>
      </c>
      <c r="AU119" s="78"/>
      <c r="AX119" s="21">
        <v>14106000</v>
      </c>
      <c r="AY119" s="10" t="s">
        <v>221</v>
      </c>
      <c r="AZ119" s="10" t="s">
        <v>141</v>
      </c>
    </row>
    <row r="120" spans="1:52" ht="17" customHeight="1" x14ac:dyDescent="0.2">
      <c r="A120" s="79"/>
      <c r="B120" s="79"/>
      <c r="C120" s="79"/>
      <c r="D120" s="79"/>
      <c r="E120" s="79"/>
      <c r="F120" s="79"/>
      <c r="G120" s="79"/>
      <c r="H120" s="79"/>
      <c r="I120" s="79"/>
      <c r="J120" s="79"/>
      <c r="K120" s="79"/>
      <c r="L120" s="79"/>
      <c r="M120" s="79"/>
      <c r="N120" s="79"/>
      <c r="O120" s="79"/>
      <c r="AH120" s="7" t="s">
        <v>128</v>
      </c>
      <c r="AI120" s="18">
        <v>24195000</v>
      </c>
      <c r="AN120" s="7" t="s">
        <v>163</v>
      </c>
      <c r="AO120" s="18">
        <v>57269000</v>
      </c>
      <c r="AS120" s="18">
        <v>57269000</v>
      </c>
      <c r="AT120" s="7" t="s">
        <v>131</v>
      </c>
      <c r="AU120" s="78"/>
      <c r="AX120" s="18">
        <v>57269000</v>
      </c>
      <c r="AY120" s="7" t="s">
        <v>131</v>
      </c>
      <c r="AZ120" s="7" t="s">
        <v>163</v>
      </c>
    </row>
    <row r="121" spans="1:52" ht="17" customHeight="1" x14ac:dyDescent="0.2">
      <c r="A121" s="79"/>
      <c r="B121" s="79"/>
      <c r="C121" s="79"/>
      <c r="D121" s="79"/>
      <c r="E121" s="79"/>
      <c r="F121" s="79"/>
      <c r="G121" s="79"/>
      <c r="H121" s="79"/>
      <c r="I121" s="79"/>
      <c r="J121" s="79"/>
      <c r="K121" s="79"/>
      <c r="L121" s="79"/>
      <c r="M121" s="79"/>
      <c r="N121" s="79"/>
      <c r="O121" s="79"/>
      <c r="AH121" s="10" t="s">
        <v>153</v>
      </c>
      <c r="AI121" s="21">
        <v>23980000</v>
      </c>
      <c r="AN121" s="10" t="s">
        <v>163</v>
      </c>
      <c r="AO121" s="21">
        <v>44363000</v>
      </c>
      <c r="AS121" s="21">
        <v>44363000</v>
      </c>
      <c r="AT121" s="10" t="s">
        <v>155</v>
      </c>
      <c r="AU121" s="78"/>
      <c r="AX121" s="21">
        <v>44363000</v>
      </c>
      <c r="AY121" s="10" t="s">
        <v>155</v>
      </c>
      <c r="AZ121" s="10" t="s">
        <v>163</v>
      </c>
    </row>
    <row r="122" spans="1:52" ht="17" customHeight="1" x14ac:dyDescent="0.2">
      <c r="A122" s="79"/>
      <c r="B122" s="79"/>
      <c r="C122" s="79"/>
      <c r="D122" s="79"/>
      <c r="E122" s="79"/>
      <c r="F122" s="79"/>
      <c r="G122" s="79"/>
      <c r="H122" s="79"/>
      <c r="I122" s="79"/>
      <c r="J122" s="79"/>
      <c r="K122" s="79"/>
      <c r="L122" s="79"/>
      <c r="M122" s="79"/>
      <c r="N122" s="79"/>
      <c r="O122" s="79"/>
      <c r="AH122" s="7" t="s">
        <v>128</v>
      </c>
      <c r="AI122" s="18">
        <v>23619000</v>
      </c>
      <c r="AN122" s="7" t="s">
        <v>163</v>
      </c>
      <c r="AO122" s="18">
        <v>60941000</v>
      </c>
      <c r="AS122" s="18">
        <v>60941000</v>
      </c>
      <c r="AT122" s="7" t="s">
        <v>194</v>
      </c>
      <c r="AU122" s="78"/>
      <c r="AX122" s="18">
        <v>60941000</v>
      </c>
      <c r="AY122" s="7" t="s">
        <v>194</v>
      </c>
      <c r="AZ122" s="7" t="s">
        <v>163</v>
      </c>
    </row>
    <row r="123" spans="1:52" ht="17" customHeight="1" x14ac:dyDescent="0.2">
      <c r="A123" s="79"/>
      <c r="B123" s="79"/>
      <c r="C123" s="79"/>
      <c r="D123" s="79"/>
      <c r="E123" s="79"/>
      <c r="F123" s="79"/>
      <c r="G123" s="79"/>
      <c r="H123" s="79"/>
      <c r="I123" s="79"/>
      <c r="J123" s="79"/>
      <c r="K123" s="79"/>
      <c r="L123" s="79"/>
      <c r="M123" s="79"/>
      <c r="N123" s="79"/>
      <c r="O123" s="79"/>
      <c r="AH123" s="7" t="s">
        <v>164</v>
      </c>
      <c r="AI123" s="18">
        <v>23547000</v>
      </c>
      <c r="AN123" s="10" t="s">
        <v>163</v>
      </c>
      <c r="AO123" s="21">
        <v>10578000</v>
      </c>
      <c r="AS123" s="21">
        <v>10578000</v>
      </c>
      <c r="AT123" s="10" t="s">
        <v>194</v>
      </c>
      <c r="AU123" s="78"/>
      <c r="AX123" s="21">
        <v>10578000</v>
      </c>
      <c r="AY123" s="10" t="s">
        <v>194</v>
      </c>
      <c r="AZ123" s="10" t="s">
        <v>163</v>
      </c>
    </row>
    <row r="124" spans="1:52" ht="17" customHeight="1" x14ac:dyDescent="0.2">
      <c r="A124" s="79"/>
      <c r="B124" s="79"/>
      <c r="C124" s="79"/>
      <c r="D124" s="79"/>
      <c r="E124" s="79"/>
      <c r="F124" s="79"/>
      <c r="G124" s="79"/>
      <c r="H124" s="79"/>
      <c r="I124" s="79"/>
      <c r="J124" s="79"/>
      <c r="K124" s="79"/>
      <c r="L124" s="79"/>
      <c r="M124" s="79"/>
      <c r="N124" s="79"/>
      <c r="O124" s="79"/>
      <c r="AH124" s="10" t="s">
        <v>192</v>
      </c>
      <c r="AI124" s="21">
        <v>22726000</v>
      </c>
      <c r="AN124" s="7" t="s">
        <v>163</v>
      </c>
      <c r="AO124" s="18">
        <v>36572000</v>
      </c>
      <c r="AS124" s="18">
        <v>36572000</v>
      </c>
      <c r="AT124" s="7" t="s">
        <v>194</v>
      </c>
      <c r="AU124" s="78"/>
      <c r="AX124" s="18">
        <v>36572000</v>
      </c>
      <c r="AY124" s="7" t="s">
        <v>194</v>
      </c>
      <c r="AZ124" s="7" t="s">
        <v>163</v>
      </c>
    </row>
    <row r="125" spans="1:52" ht="17" customHeight="1" x14ac:dyDescent="0.2">
      <c r="A125" s="79"/>
      <c r="B125" s="79"/>
      <c r="C125" s="79"/>
      <c r="D125" s="79"/>
      <c r="E125" s="79"/>
      <c r="F125" s="79"/>
      <c r="G125" s="79"/>
      <c r="H125" s="79"/>
      <c r="I125" s="79"/>
      <c r="J125" s="79"/>
      <c r="K125" s="79"/>
      <c r="L125" s="79"/>
      <c r="M125" s="79"/>
      <c r="N125" s="79"/>
      <c r="O125" s="79"/>
      <c r="AH125" s="10" t="s">
        <v>142</v>
      </c>
      <c r="AI125" s="21">
        <v>22500000</v>
      </c>
      <c r="AN125" s="10" t="s">
        <v>141</v>
      </c>
      <c r="AO125" s="21">
        <v>74472000</v>
      </c>
      <c r="AS125" s="21">
        <v>74472000</v>
      </c>
      <c r="AT125" s="10" t="s">
        <v>131</v>
      </c>
      <c r="AU125" s="78"/>
      <c r="AX125" s="21">
        <v>74472000</v>
      </c>
      <c r="AY125" s="10" t="s">
        <v>131</v>
      </c>
      <c r="AZ125" s="10" t="s">
        <v>141</v>
      </c>
    </row>
    <row r="126" spans="1:52" ht="17" customHeight="1" x14ac:dyDescent="0.2">
      <c r="AH126" s="10" t="s">
        <v>164</v>
      </c>
      <c r="AI126" s="21">
        <v>21232000</v>
      </c>
      <c r="AN126" s="7" t="s">
        <v>141</v>
      </c>
      <c r="AO126" s="18">
        <v>34559000</v>
      </c>
      <c r="AS126" s="18">
        <v>34559000</v>
      </c>
      <c r="AT126" s="7" t="s">
        <v>155</v>
      </c>
      <c r="AU126" s="78"/>
      <c r="AX126" s="18">
        <v>34559000</v>
      </c>
      <c r="AY126" s="7" t="s">
        <v>155</v>
      </c>
      <c r="AZ126" s="7" t="s">
        <v>141</v>
      </c>
    </row>
    <row r="127" spans="1:52" ht="17" customHeight="1" x14ac:dyDescent="0.2">
      <c r="AH127" s="7" t="s">
        <v>280</v>
      </c>
      <c r="AI127" s="18">
        <v>20342000</v>
      </c>
      <c r="AN127" s="10" t="s">
        <v>163</v>
      </c>
      <c r="AO127" s="21">
        <v>74417000</v>
      </c>
      <c r="AS127" s="21">
        <v>74417000</v>
      </c>
      <c r="AT127" s="10" t="s">
        <v>131</v>
      </c>
      <c r="AU127" s="78"/>
      <c r="AX127" s="21">
        <v>74417000</v>
      </c>
      <c r="AY127" s="10" t="s">
        <v>131</v>
      </c>
      <c r="AZ127" s="10" t="s">
        <v>163</v>
      </c>
    </row>
    <row r="128" spans="1:52" ht="17" customHeight="1" x14ac:dyDescent="0.2">
      <c r="AH128" s="10" t="s">
        <v>181</v>
      </c>
      <c r="AI128" s="21">
        <v>18693000</v>
      </c>
      <c r="AN128" s="7" t="s">
        <v>141</v>
      </c>
      <c r="AO128" s="18">
        <v>9476000</v>
      </c>
      <c r="AS128" s="18">
        <v>9476000</v>
      </c>
      <c r="AT128" s="7" t="s">
        <v>194</v>
      </c>
      <c r="AU128" s="78"/>
      <c r="AX128" s="18">
        <v>9476000</v>
      </c>
      <c r="AY128" s="7" t="s">
        <v>194</v>
      </c>
      <c r="AZ128" s="7" t="s">
        <v>141</v>
      </c>
    </row>
    <row r="129" spans="34:52" ht="17" customHeight="1" x14ac:dyDescent="0.2">
      <c r="AH129" s="7" t="s">
        <v>192</v>
      </c>
      <c r="AI129" s="18">
        <v>18351000</v>
      </c>
      <c r="AN129" s="10" t="s">
        <v>141</v>
      </c>
      <c r="AO129" s="21">
        <v>28600000</v>
      </c>
      <c r="AS129" s="21">
        <v>28600000</v>
      </c>
      <c r="AT129" s="10" t="s">
        <v>221</v>
      </c>
      <c r="AU129" s="78"/>
      <c r="AX129" s="21">
        <v>28600000</v>
      </c>
      <c r="AY129" s="10" t="s">
        <v>221</v>
      </c>
      <c r="AZ129" s="10" t="s">
        <v>141</v>
      </c>
    </row>
    <row r="130" spans="34:52" ht="17" customHeight="1" x14ac:dyDescent="0.2">
      <c r="AH130" s="10" t="s">
        <v>153</v>
      </c>
      <c r="AI130" s="21">
        <v>17674000</v>
      </c>
      <c r="AN130" s="7" t="s">
        <v>126</v>
      </c>
      <c r="AO130" s="18">
        <v>20342000</v>
      </c>
      <c r="AS130" s="18">
        <v>20342000</v>
      </c>
      <c r="AT130" s="7" t="s">
        <v>204</v>
      </c>
      <c r="AU130" s="78"/>
      <c r="AX130" s="18">
        <v>20342000</v>
      </c>
      <c r="AY130" s="7" t="s">
        <v>204</v>
      </c>
      <c r="AZ130" s="7" t="s">
        <v>126</v>
      </c>
    </row>
    <row r="131" spans="34:52" ht="17" customHeight="1" x14ac:dyDescent="0.2">
      <c r="AH131" s="10" t="s">
        <v>142</v>
      </c>
      <c r="AI131" s="21">
        <v>15822000</v>
      </c>
      <c r="AN131" s="10" t="s">
        <v>141</v>
      </c>
      <c r="AO131" s="21">
        <v>15822000</v>
      </c>
      <c r="AS131" s="21">
        <v>15822000</v>
      </c>
      <c r="AT131" s="10" t="s">
        <v>194</v>
      </c>
      <c r="AU131" s="78"/>
      <c r="AX131" s="21">
        <v>15822000</v>
      </c>
      <c r="AY131" s="10" t="s">
        <v>194</v>
      </c>
      <c r="AZ131" s="10" t="s">
        <v>141</v>
      </c>
    </row>
    <row r="132" spans="34:52" ht="17" customHeight="1" x14ac:dyDescent="0.2">
      <c r="AH132" s="10" t="s">
        <v>192</v>
      </c>
      <c r="AI132" s="21">
        <v>15012000</v>
      </c>
      <c r="AN132" s="7" t="s">
        <v>163</v>
      </c>
      <c r="AO132" s="18">
        <v>77407000</v>
      </c>
      <c r="AS132" s="18">
        <v>77407000</v>
      </c>
      <c r="AT132" s="7" t="s">
        <v>204</v>
      </c>
      <c r="AU132" s="78"/>
      <c r="AX132" s="18">
        <v>77407000</v>
      </c>
      <c r="AY132" s="7" t="s">
        <v>204</v>
      </c>
      <c r="AZ132" s="7" t="s">
        <v>163</v>
      </c>
    </row>
    <row r="133" spans="34:52" ht="17" customHeight="1" x14ac:dyDescent="0.2">
      <c r="AH133" s="10" t="s">
        <v>128</v>
      </c>
      <c r="AI133" s="21">
        <v>14106000</v>
      </c>
      <c r="AN133" s="10" t="s">
        <v>141</v>
      </c>
      <c r="AO133" s="21">
        <v>61794000</v>
      </c>
      <c r="AS133" s="21">
        <v>61794000</v>
      </c>
      <c r="AT133" s="10" t="s">
        <v>131</v>
      </c>
      <c r="AU133" s="78"/>
      <c r="AX133" s="21">
        <v>61794000</v>
      </c>
      <c r="AY133" s="10" t="s">
        <v>131</v>
      </c>
      <c r="AZ133" s="10" t="s">
        <v>141</v>
      </c>
    </row>
    <row r="134" spans="34:52" ht="17" customHeight="1" x14ac:dyDescent="0.2">
      <c r="AH134" s="10" t="s">
        <v>164</v>
      </c>
      <c r="AI134" s="21">
        <v>13320000</v>
      </c>
      <c r="AN134" s="7" t="s">
        <v>233</v>
      </c>
      <c r="AO134" s="18">
        <v>49954000</v>
      </c>
      <c r="AS134" s="18">
        <v>49954000</v>
      </c>
      <c r="AT134" s="7" t="s">
        <v>155</v>
      </c>
      <c r="AU134" s="78"/>
      <c r="AX134" s="18">
        <v>49954000</v>
      </c>
      <c r="AY134" s="7" t="s">
        <v>155</v>
      </c>
      <c r="AZ134" s="7" t="s">
        <v>233</v>
      </c>
    </row>
    <row r="135" spans="34:52" ht="17" customHeight="1" x14ac:dyDescent="0.2">
      <c r="AH135" s="10" t="s">
        <v>181</v>
      </c>
      <c r="AI135" s="21">
        <v>12442000</v>
      </c>
      <c r="AN135" s="10" t="s">
        <v>233</v>
      </c>
      <c r="AO135" s="21">
        <v>33003000</v>
      </c>
      <c r="AS135" s="21">
        <v>33003000</v>
      </c>
      <c r="AT135" s="10" t="s">
        <v>194</v>
      </c>
      <c r="AU135" s="78"/>
      <c r="AX135" s="21">
        <v>33003000</v>
      </c>
      <c r="AY135" s="10" t="s">
        <v>194</v>
      </c>
      <c r="AZ135" s="10" t="s">
        <v>233</v>
      </c>
    </row>
    <row r="136" spans="34:52" ht="17" customHeight="1" x14ac:dyDescent="0.2">
      <c r="AH136" s="10" t="s">
        <v>142</v>
      </c>
      <c r="AI136" s="21">
        <v>12256000</v>
      </c>
      <c r="AN136" s="7" t="s">
        <v>141</v>
      </c>
      <c r="AO136" s="18">
        <v>38199000</v>
      </c>
      <c r="AS136" s="18">
        <v>38199000</v>
      </c>
      <c r="AT136" s="7" t="s">
        <v>204</v>
      </c>
      <c r="AU136" s="78"/>
      <c r="AX136" s="18">
        <v>38199000</v>
      </c>
      <c r="AY136" s="7" t="s">
        <v>204</v>
      </c>
      <c r="AZ136" s="7" t="s">
        <v>141</v>
      </c>
    </row>
    <row r="137" spans="34:52" ht="17" customHeight="1" x14ac:dyDescent="0.2">
      <c r="AH137" s="10" t="s">
        <v>164</v>
      </c>
      <c r="AI137" s="21">
        <v>12190000</v>
      </c>
      <c r="AN137" s="10" t="s">
        <v>268</v>
      </c>
      <c r="AO137" s="21">
        <v>40652000</v>
      </c>
      <c r="AS137" s="21">
        <v>40652000</v>
      </c>
      <c r="AT137" s="10" t="s">
        <v>309</v>
      </c>
      <c r="AU137" s="78"/>
      <c r="AX137" s="21">
        <v>40652000</v>
      </c>
      <c r="AY137" s="10" t="s">
        <v>309</v>
      </c>
      <c r="AZ137" s="10" t="s">
        <v>268</v>
      </c>
    </row>
    <row r="138" spans="34:52" ht="17" customHeight="1" x14ac:dyDescent="0.2">
      <c r="AH138" s="10" t="s">
        <v>280</v>
      </c>
      <c r="AI138" s="21">
        <v>11746000</v>
      </c>
      <c r="AN138" s="7" t="s">
        <v>126</v>
      </c>
      <c r="AO138" s="18">
        <v>35648000</v>
      </c>
      <c r="AS138" s="18">
        <v>35648000</v>
      </c>
      <c r="AT138" s="7" t="s">
        <v>194</v>
      </c>
      <c r="AU138" s="78"/>
      <c r="AX138" s="18">
        <v>35648000</v>
      </c>
      <c r="AY138" s="7" t="s">
        <v>194</v>
      </c>
      <c r="AZ138" s="7" t="s">
        <v>126</v>
      </c>
    </row>
    <row r="139" spans="34:52" ht="17" customHeight="1" x14ac:dyDescent="0.2">
      <c r="AH139" s="10" t="s">
        <v>153</v>
      </c>
      <c r="AI139" s="21">
        <v>10578000</v>
      </c>
      <c r="AN139" s="10" t="s">
        <v>141</v>
      </c>
      <c r="AO139" s="21">
        <v>57739000</v>
      </c>
      <c r="AS139" s="21">
        <v>57739000</v>
      </c>
      <c r="AT139" s="10" t="s">
        <v>194</v>
      </c>
      <c r="AU139" s="78"/>
      <c r="AX139" s="21">
        <v>57739000</v>
      </c>
      <c r="AY139" s="10" t="s">
        <v>194</v>
      </c>
      <c r="AZ139" s="10" t="s">
        <v>141</v>
      </c>
    </row>
    <row r="140" spans="34:52" ht="17" customHeight="1" x14ac:dyDescent="0.2">
      <c r="AH140" s="10" t="s">
        <v>164</v>
      </c>
      <c r="AI140" s="21">
        <v>10117000</v>
      </c>
      <c r="AN140" s="7" t="s">
        <v>163</v>
      </c>
      <c r="AO140" s="18">
        <v>45972000</v>
      </c>
      <c r="AS140" s="18">
        <v>45972000</v>
      </c>
      <c r="AT140" s="7" t="s">
        <v>131</v>
      </c>
      <c r="AU140" s="78"/>
      <c r="AX140" s="18">
        <v>45972000</v>
      </c>
      <c r="AY140" s="7" t="s">
        <v>131</v>
      </c>
      <c r="AZ140" s="7" t="s">
        <v>163</v>
      </c>
    </row>
    <row r="141" spans="34:52" ht="17" customHeight="1" x14ac:dyDescent="0.2">
      <c r="AH141" s="7" t="s">
        <v>164</v>
      </c>
      <c r="AI141" s="18">
        <v>9476000</v>
      </c>
      <c r="AN141" s="10" t="s">
        <v>141</v>
      </c>
      <c r="AO141" s="21">
        <v>66859000</v>
      </c>
      <c r="AS141" s="21">
        <v>66859000</v>
      </c>
      <c r="AT141" s="10" t="s">
        <v>204</v>
      </c>
      <c r="AU141" s="78"/>
      <c r="AX141" s="21">
        <v>66859000</v>
      </c>
      <c r="AY141" s="10" t="s">
        <v>204</v>
      </c>
      <c r="AZ141" s="10" t="s">
        <v>141</v>
      </c>
    </row>
    <row r="142" spans="34:52" ht="17" customHeight="1" x14ac:dyDescent="0.2">
      <c r="AH142" s="7" t="s">
        <v>280</v>
      </c>
      <c r="AI142" s="18">
        <v>9409000</v>
      </c>
      <c r="AN142" s="7" t="s">
        <v>141</v>
      </c>
      <c r="AO142" s="18">
        <v>60321000</v>
      </c>
      <c r="AS142" s="18">
        <v>60321000</v>
      </c>
      <c r="AT142" s="7" t="s">
        <v>155</v>
      </c>
      <c r="AU142" s="78"/>
      <c r="AX142" s="18">
        <v>60321000</v>
      </c>
      <c r="AY142" s="7" t="s">
        <v>155</v>
      </c>
      <c r="AZ142" s="7" t="s">
        <v>141</v>
      </c>
    </row>
    <row r="143" spans="34:52" ht="17" customHeight="1" x14ac:dyDescent="0.2">
      <c r="AH143" s="7" t="s">
        <v>153</v>
      </c>
      <c r="AI143" s="18">
        <v>8521000</v>
      </c>
      <c r="AN143" s="10" t="s">
        <v>163</v>
      </c>
      <c r="AO143" s="21">
        <v>33309000</v>
      </c>
      <c r="AS143" s="21">
        <v>33309000</v>
      </c>
      <c r="AT143" s="10" t="s">
        <v>131</v>
      </c>
      <c r="AU143" s="78"/>
      <c r="AX143" s="21">
        <v>33309000</v>
      </c>
      <c r="AY143" s="10" t="s">
        <v>131</v>
      </c>
      <c r="AZ143" s="10" t="s">
        <v>163</v>
      </c>
    </row>
    <row r="144" spans="34:52" ht="17" customHeight="1" x14ac:dyDescent="0.2">
      <c r="AH144" s="7" t="s">
        <v>213</v>
      </c>
      <c r="AI144" s="18">
        <v>6891000</v>
      </c>
      <c r="AN144" s="7" t="s">
        <v>268</v>
      </c>
      <c r="AO144" s="18">
        <v>24564000</v>
      </c>
      <c r="AS144" s="18">
        <v>24564000</v>
      </c>
      <c r="AT144" s="7" t="s">
        <v>194</v>
      </c>
      <c r="AU144" s="78"/>
      <c r="AX144" s="18">
        <v>24564000</v>
      </c>
      <c r="AY144" s="7" t="s">
        <v>194</v>
      </c>
      <c r="AZ144" s="7" t="s">
        <v>268</v>
      </c>
    </row>
    <row r="145" spans="34:52" ht="17" customHeight="1" x14ac:dyDescent="0.2">
      <c r="AH145" s="7" t="s">
        <v>164</v>
      </c>
      <c r="AI145" s="18">
        <v>5552000</v>
      </c>
      <c r="AN145" s="10" t="s">
        <v>141</v>
      </c>
      <c r="AO145" s="21">
        <v>37378000</v>
      </c>
      <c r="AS145" s="21">
        <v>37378000</v>
      </c>
      <c r="AT145" s="10" t="s">
        <v>204</v>
      </c>
      <c r="AU145" s="78"/>
      <c r="AX145" s="21">
        <v>37378000</v>
      </c>
      <c r="AY145" s="10" t="s">
        <v>204</v>
      </c>
      <c r="AZ145" s="10" t="s">
        <v>141</v>
      </c>
    </row>
    <row r="146" spans="34:52" ht="17" customHeight="1" x14ac:dyDescent="0.2">
      <c r="AH146" s="10" t="s">
        <v>181</v>
      </c>
      <c r="AI146" s="21">
        <v>4215000</v>
      </c>
      <c r="AN146" s="7" t="s">
        <v>163</v>
      </c>
      <c r="AO146" s="18">
        <v>43815000</v>
      </c>
      <c r="AS146" s="18">
        <v>43815000</v>
      </c>
      <c r="AT146" s="7" t="s">
        <v>204</v>
      </c>
      <c r="AU146" s="78"/>
      <c r="AX146" s="18">
        <v>43815000</v>
      </c>
      <c r="AY146" s="7" t="s">
        <v>204</v>
      </c>
      <c r="AZ146" s="7" t="s">
        <v>163</v>
      </c>
    </row>
    <row r="147" spans="34:52" ht="17" customHeight="1" x14ac:dyDescent="0.2">
      <c r="AH147" s="10" t="s">
        <v>181</v>
      </c>
      <c r="AI147" s="21">
        <v>2905000</v>
      </c>
      <c r="AN147" s="10" t="s">
        <v>268</v>
      </c>
      <c r="AO147" s="21">
        <v>68394000</v>
      </c>
      <c r="AS147" s="21">
        <v>68394000</v>
      </c>
      <c r="AT147" s="10" t="s">
        <v>155</v>
      </c>
      <c r="AU147" s="78"/>
      <c r="AX147" s="21">
        <v>68394000</v>
      </c>
      <c r="AY147" s="10" t="s">
        <v>155</v>
      </c>
      <c r="AZ147" s="10" t="s">
        <v>268</v>
      </c>
    </row>
    <row r="148" spans="34:52" ht="17" customHeight="1" x14ac:dyDescent="0.2">
      <c r="AH148" s="10" t="s">
        <v>142</v>
      </c>
      <c r="AI148" s="21">
        <v>2819000</v>
      </c>
      <c r="AN148" s="7" t="s">
        <v>268</v>
      </c>
      <c r="AO148" s="18">
        <v>46494000</v>
      </c>
      <c r="AS148" s="18">
        <v>46494000</v>
      </c>
      <c r="AT148" s="7" t="s">
        <v>131</v>
      </c>
      <c r="AU148" s="78"/>
      <c r="AX148" s="18">
        <v>46494000</v>
      </c>
      <c r="AY148" s="7" t="s">
        <v>131</v>
      </c>
      <c r="AZ148" s="7" t="s">
        <v>268</v>
      </c>
    </row>
    <row r="149" spans="34:52" ht="17" customHeight="1" x14ac:dyDescent="0.2">
      <c r="AH149" s="10" t="s">
        <v>280</v>
      </c>
      <c r="AI149" s="21">
        <v>2096000</v>
      </c>
      <c r="AN149" s="10" t="s">
        <v>126</v>
      </c>
      <c r="AO149" s="21">
        <v>72305000</v>
      </c>
      <c r="AS149" s="21">
        <v>72305000</v>
      </c>
      <c r="AT149" s="10" t="s">
        <v>194</v>
      </c>
      <c r="AU149" s="78"/>
      <c r="AX149" s="21">
        <v>72305000</v>
      </c>
      <c r="AY149" s="10" t="s">
        <v>194</v>
      </c>
      <c r="AZ149" s="10" t="s">
        <v>126</v>
      </c>
    </row>
    <row r="150" spans="34:52" ht="17" customHeight="1" x14ac:dyDescent="0.2">
      <c r="AH150" s="7" t="s">
        <v>153</v>
      </c>
      <c r="AI150" s="18">
        <v>753000</v>
      </c>
      <c r="AN150" s="10" t="s">
        <v>141</v>
      </c>
      <c r="AO150" s="21">
        <v>63582000</v>
      </c>
      <c r="AS150" s="21">
        <v>63582000</v>
      </c>
      <c r="AT150" s="10" t="s">
        <v>221</v>
      </c>
      <c r="AU150" s="78"/>
      <c r="AX150" s="21">
        <v>63582000</v>
      </c>
      <c r="AY150" s="10" t="s">
        <v>221</v>
      </c>
      <c r="AZ150" s="10" t="s">
        <v>141</v>
      </c>
    </row>
    <row r="151" spans="34:52" ht="17" customHeight="1" x14ac:dyDescent="0.2">
      <c r="AH151" s="10" t="s">
        <v>153</v>
      </c>
      <c r="AI151" s="21">
        <v>726000</v>
      </c>
      <c r="AN151" s="10" t="s">
        <v>163</v>
      </c>
      <c r="AO151" s="21">
        <v>12256000</v>
      </c>
      <c r="AS151" s="21">
        <v>12256000</v>
      </c>
      <c r="AT151" s="10" t="s">
        <v>194</v>
      </c>
      <c r="AU151" s="78"/>
      <c r="AX151" s="21">
        <v>12256000</v>
      </c>
      <c r="AY151" s="10" t="s">
        <v>194</v>
      </c>
      <c r="AZ151" s="10" t="s">
        <v>163</v>
      </c>
    </row>
  </sheetData>
  <autoFilter ref="AS1:AT321" xr:uid="{00000000-0001-0000-0500-000000000000}"/>
  <mergeCells count="24">
    <mergeCell ref="J22:O22"/>
    <mergeCell ref="B2:R2"/>
    <mergeCell ref="E7:G7"/>
    <mergeCell ref="B6:D6"/>
    <mergeCell ref="N6:P6"/>
    <mergeCell ref="K7:M7"/>
    <mergeCell ref="B22:H22"/>
    <mergeCell ref="K6:M6"/>
    <mergeCell ref="H8:J8"/>
    <mergeCell ref="Q7:S7"/>
    <mergeCell ref="B11:H11"/>
    <mergeCell ref="B7:D7"/>
    <mergeCell ref="N7:P7"/>
    <mergeCell ref="E8:G8"/>
    <mergeCell ref="Q8:S8"/>
    <mergeCell ref="H6:J6"/>
    <mergeCell ref="B8:D8"/>
    <mergeCell ref="N8:P8"/>
    <mergeCell ref="B3:R3"/>
    <mergeCell ref="J11:O11"/>
    <mergeCell ref="H7:J7"/>
    <mergeCell ref="E6:G6"/>
    <mergeCell ref="Q6:S6"/>
    <mergeCell ref="K8:M8"/>
  </mergeCells>
  <pageMargins left="0.75" right="0.75" top="1" bottom="1" header="0.5" footer="0.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B1:W151"/>
  <sheetViews>
    <sheetView showGridLines="0" zoomScale="136" zoomScaleNormal="136" workbookViewId="0">
      <pane xSplit="1" ySplit="1" topLeftCell="M2" activePane="bottomRight" state="frozen"/>
      <selection pane="topRight"/>
      <selection pane="bottomLeft"/>
      <selection pane="bottomRight" activeCell="B151" sqref="B2:B151"/>
    </sheetView>
  </sheetViews>
  <sheetFormatPr baseColWidth="10" defaultColWidth="8.83203125" defaultRowHeight="15" x14ac:dyDescent="0.2"/>
  <cols>
    <col min="1" max="1" width="3" customWidth="1"/>
    <col min="2" max="2" width="10" customWidth="1"/>
    <col min="3" max="3" width="13" customWidth="1"/>
    <col min="4" max="4" width="14" customWidth="1"/>
    <col min="5" max="5" width="22" customWidth="1"/>
    <col min="6" max="6" width="16" customWidth="1"/>
    <col min="7" max="8" width="20" customWidth="1"/>
    <col min="9" max="10" width="14" customWidth="1"/>
    <col min="11" max="11" width="16" customWidth="1"/>
    <col min="12" max="14" width="18" customWidth="1"/>
    <col min="15" max="15" width="10" customWidth="1"/>
    <col min="16" max="16" width="13" customWidth="1"/>
    <col min="17" max="17" width="14" customWidth="1"/>
    <col min="18" max="18" width="12" customWidth="1"/>
    <col min="19" max="19" width="14" customWidth="1"/>
    <col min="20" max="20" width="18" customWidth="1"/>
    <col min="21" max="21" width="16" customWidth="1"/>
    <col min="22" max="22" width="25" customWidth="1"/>
    <col min="23" max="23" width="12.33203125" customWidth="1"/>
  </cols>
  <sheetData>
    <row r="1" spans="2:23" ht="28" customHeight="1" x14ac:dyDescent="0.2">
      <c r="B1" s="5" t="s">
        <v>101</v>
      </c>
      <c r="C1" s="5" t="s">
        <v>102</v>
      </c>
      <c r="D1" s="5" t="s">
        <v>103</v>
      </c>
      <c r="E1" s="5" t="s">
        <v>104</v>
      </c>
      <c r="F1" s="5" t="s">
        <v>105</v>
      </c>
      <c r="G1" s="5" t="s">
        <v>106</v>
      </c>
      <c r="H1" s="5" t="s">
        <v>107</v>
      </c>
      <c r="I1" s="5" t="s">
        <v>108</v>
      </c>
      <c r="J1" s="5" t="s">
        <v>109</v>
      </c>
      <c r="K1" s="5" t="s">
        <v>110</v>
      </c>
      <c r="L1" s="5" t="s">
        <v>111</v>
      </c>
      <c r="M1" s="5" t="s">
        <v>112</v>
      </c>
      <c r="N1" s="5" t="s">
        <v>113</v>
      </c>
      <c r="O1" s="5" t="s">
        <v>114</v>
      </c>
      <c r="P1" s="5" t="s">
        <v>115</v>
      </c>
      <c r="Q1" s="5" t="s">
        <v>116</v>
      </c>
      <c r="R1" s="5" t="s">
        <v>117</v>
      </c>
      <c r="S1" s="5" t="s">
        <v>118</v>
      </c>
      <c r="T1" s="5" t="s">
        <v>119</v>
      </c>
      <c r="U1" s="5" t="s">
        <v>120</v>
      </c>
      <c r="V1" s="5" t="s">
        <v>121</v>
      </c>
      <c r="W1" s="85" t="s">
        <v>58</v>
      </c>
    </row>
    <row r="2" spans="2:23" x14ac:dyDescent="0.2">
      <c r="B2" s="7" t="s">
        <v>122</v>
      </c>
      <c r="C2" s="7" t="s">
        <v>123</v>
      </c>
      <c r="D2" s="7" t="s">
        <v>124</v>
      </c>
      <c r="E2" s="7" t="s">
        <v>125</v>
      </c>
      <c r="F2" s="7" t="s">
        <v>126</v>
      </c>
      <c r="G2" s="7" t="s">
        <v>127</v>
      </c>
      <c r="H2" s="7" t="s">
        <v>128</v>
      </c>
      <c r="I2" s="7" t="s">
        <v>129</v>
      </c>
      <c r="J2" s="17">
        <v>35</v>
      </c>
      <c r="K2" s="18">
        <v>47642000</v>
      </c>
      <c r="L2" s="18">
        <v>16675000</v>
      </c>
      <c r="M2" s="7" t="s">
        <v>130</v>
      </c>
      <c r="N2" s="7" t="s">
        <v>131</v>
      </c>
      <c r="O2" s="7" t="s">
        <v>132</v>
      </c>
      <c r="P2" s="7" t="s">
        <v>133</v>
      </c>
      <c r="Q2" s="7" t="s">
        <v>134</v>
      </c>
      <c r="R2" s="7">
        <v>153</v>
      </c>
      <c r="S2" s="7" t="s">
        <v>135</v>
      </c>
      <c r="T2" s="18">
        <v>3218000</v>
      </c>
      <c r="U2" s="19" t="s">
        <v>136</v>
      </c>
      <c r="V2" s="7"/>
    </row>
    <row r="3" spans="2:23" x14ac:dyDescent="0.2">
      <c r="B3" s="10" t="s">
        <v>137</v>
      </c>
      <c r="C3" s="10" t="s">
        <v>138</v>
      </c>
      <c r="D3" s="10" t="s">
        <v>139</v>
      </c>
      <c r="E3" s="10" t="s">
        <v>140</v>
      </c>
      <c r="F3" s="10" t="s">
        <v>141</v>
      </c>
      <c r="G3" s="10" t="s">
        <v>127</v>
      </c>
      <c r="H3" s="10" t="s">
        <v>142</v>
      </c>
      <c r="I3" s="10" t="s">
        <v>129</v>
      </c>
      <c r="J3" s="20">
        <v>35</v>
      </c>
      <c r="K3" s="21">
        <v>22500000</v>
      </c>
      <c r="L3" s="21">
        <v>7875000</v>
      </c>
      <c r="M3" s="10" t="s">
        <v>143</v>
      </c>
      <c r="N3" s="10" t="s">
        <v>131</v>
      </c>
      <c r="O3" s="10" t="s">
        <v>144</v>
      </c>
      <c r="P3" s="10" t="s">
        <v>145</v>
      </c>
      <c r="Q3" s="10" t="s">
        <v>146</v>
      </c>
      <c r="R3" s="10">
        <v>240</v>
      </c>
      <c r="S3" s="10" t="s">
        <v>147</v>
      </c>
      <c r="T3" s="21">
        <v>1206100</v>
      </c>
      <c r="U3" s="22" t="s">
        <v>136</v>
      </c>
      <c r="V3" s="10"/>
    </row>
    <row r="4" spans="2:23" x14ac:dyDescent="0.2">
      <c r="B4" s="7" t="s">
        <v>148</v>
      </c>
      <c r="C4" s="7" t="s">
        <v>149</v>
      </c>
      <c r="D4" s="7" t="s">
        <v>150</v>
      </c>
      <c r="E4" s="7" t="s">
        <v>151</v>
      </c>
      <c r="F4" s="7" t="s">
        <v>141</v>
      </c>
      <c r="G4" s="7" t="s">
        <v>152</v>
      </c>
      <c r="H4" s="7" t="s">
        <v>153</v>
      </c>
      <c r="I4" s="7" t="s">
        <v>154</v>
      </c>
      <c r="J4" s="17">
        <v>100</v>
      </c>
      <c r="K4" s="18">
        <v>8521000</v>
      </c>
      <c r="L4" s="18">
        <v>8521000</v>
      </c>
      <c r="M4" s="7" t="s">
        <v>143</v>
      </c>
      <c r="N4" s="7" t="s">
        <v>155</v>
      </c>
      <c r="O4" s="7" t="s">
        <v>132</v>
      </c>
      <c r="P4" s="7" t="s">
        <v>156</v>
      </c>
      <c r="Q4" s="7" t="s">
        <v>157</v>
      </c>
      <c r="R4" s="7">
        <v>139</v>
      </c>
      <c r="S4" s="7" t="s">
        <v>158</v>
      </c>
      <c r="T4" s="18">
        <v>350100</v>
      </c>
      <c r="U4" s="19" t="s">
        <v>136</v>
      </c>
      <c r="V4" s="7"/>
    </row>
    <row r="5" spans="2:23" x14ac:dyDescent="0.2">
      <c r="B5" s="10" t="s">
        <v>159</v>
      </c>
      <c r="C5" s="10" t="s">
        <v>160</v>
      </c>
      <c r="D5" s="10" t="s">
        <v>161</v>
      </c>
      <c r="E5" s="10" t="s">
        <v>162</v>
      </c>
      <c r="F5" s="10" t="s">
        <v>163</v>
      </c>
      <c r="G5" s="10" t="s">
        <v>152</v>
      </c>
      <c r="H5" s="10" t="s">
        <v>164</v>
      </c>
      <c r="I5" s="10" t="s">
        <v>129</v>
      </c>
      <c r="J5" s="20">
        <v>35</v>
      </c>
      <c r="K5" s="21">
        <v>12190000</v>
      </c>
      <c r="L5" s="21">
        <v>4266000</v>
      </c>
      <c r="M5" s="10" t="s">
        <v>165</v>
      </c>
      <c r="N5" s="10" t="s">
        <v>131</v>
      </c>
      <c r="O5" s="10" t="s">
        <v>132</v>
      </c>
      <c r="P5" s="10" t="s">
        <v>166</v>
      </c>
      <c r="Q5" s="10" t="s">
        <v>167</v>
      </c>
      <c r="R5" s="10">
        <v>258</v>
      </c>
      <c r="S5" s="10" t="s">
        <v>168</v>
      </c>
      <c r="T5" s="21">
        <v>505700</v>
      </c>
      <c r="U5" s="22" t="s">
        <v>136</v>
      </c>
      <c r="V5" s="10"/>
    </row>
    <row r="6" spans="2:23" x14ac:dyDescent="0.2">
      <c r="B6" s="7" t="s">
        <v>169</v>
      </c>
      <c r="C6" s="7" t="s">
        <v>170</v>
      </c>
      <c r="D6" s="7" t="s">
        <v>171</v>
      </c>
      <c r="E6" s="7" t="s">
        <v>172</v>
      </c>
      <c r="F6" s="7" t="s">
        <v>126</v>
      </c>
      <c r="G6" s="7" t="s">
        <v>173</v>
      </c>
      <c r="H6" s="7" t="s">
        <v>164</v>
      </c>
      <c r="I6" s="7" t="s">
        <v>154</v>
      </c>
      <c r="J6" s="17">
        <v>100</v>
      </c>
      <c r="K6" s="18">
        <v>55807000</v>
      </c>
      <c r="L6" s="18">
        <v>55807000</v>
      </c>
      <c r="M6" s="7" t="s">
        <v>174</v>
      </c>
      <c r="N6" s="7" t="s">
        <v>131</v>
      </c>
      <c r="O6" s="7" t="s">
        <v>132</v>
      </c>
      <c r="P6" s="7" t="s">
        <v>175</v>
      </c>
      <c r="Q6" s="7" t="s">
        <v>176</v>
      </c>
      <c r="R6" s="7">
        <v>247</v>
      </c>
      <c r="S6" s="7" t="s">
        <v>177</v>
      </c>
      <c r="T6" s="18">
        <v>2298000</v>
      </c>
      <c r="U6" s="19" t="s">
        <v>136</v>
      </c>
      <c r="V6" s="7"/>
    </row>
    <row r="7" spans="2:23" hidden="1" x14ac:dyDescent="0.2">
      <c r="B7" s="10" t="s">
        <v>178</v>
      </c>
      <c r="C7" s="10" t="s">
        <v>149</v>
      </c>
      <c r="D7" s="10" t="s">
        <v>179</v>
      </c>
      <c r="E7" s="10" t="s">
        <v>180</v>
      </c>
      <c r="F7" s="10" t="s">
        <v>141</v>
      </c>
      <c r="G7" s="10" t="s">
        <v>173</v>
      </c>
      <c r="H7" s="10" t="s">
        <v>181</v>
      </c>
      <c r="I7" s="10" t="s">
        <v>182</v>
      </c>
      <c r="J7" s="20">
        <v>15</v>
      </c>
      <c r="K7" s="21">
        <v>56824000</v>
      </c>
      <c r="L7" s="21">
        <v>8524000</v>
      </c>
      <c r="M7" s="10" t="s">
        <v>143</v>
      </c>
      <c r="N7" s="10" t="s">
        <v>131</v>
      </c>
      <c r="O7" s="10" t="s">
        <v>183</v>
      </c>
      <c r="P7" s="10" t="s">
        <v>184</v>
      </c>
      <c r="Q7" s="10" t="s">
        <v>185</v>
      </c>
      <c r="R7" s="10">
        <v>58</v>
      </c>
      <c r="S7" s="10" t="s">
        <v>186</v>
      </c>
      <c r="T7" s="21">
        <v>2028100</v>
      </c>
      <c r="U7" s="10" t="s">
        <v>187</v>
      </c>
      <c r="V7" s="10"/>
    </row>
    <row r="8" spans="2:23" x14ac:dyDescent="0.2">
      <c r="B8" s="7" t="s">
        <v>188</v>
      </c>
      <c r="C8" s="7" t="s">
        <v>189</v>
      </c>
      <c r="D8" s="7" t="s">
        <v>190</v>
      </c>
      <c r="E8" s="7" t="s">
        <v>191</v>
      </c>
      <c r="F8" s="7" t="s">
        <v>141</v>
      </c>
      <c r="G8" s="7" t="s">
        <v>152</v>
      </c>
      <c r="H8" s="7" t="s">
        <v>192</v>
      </c>
      <c r="I8" s="7" t="s">
        <v>193</v>
      </c>
      <c r="J8" s="17">
        <v>10</v>
      </c>
      <c r="K8" s="18">
        <v>49219000</v>
      </c>
      <c r="L8" s="18">
        <v>4922000</v>
      </c>
      <c r="M8" s="7" t="s">
        <v>165</v>
      </c>
      <c r="N8" s="7" t="s">
        <v>194</v>
      </c>
      <c r="O8" s="7" t="s">
        <v>195</v>
      </c>
      <c r="P8" s="7" t="s">
        <v>196</v>
      </c>
      <c r="Q8" s="7" t="s">
        <v>197</v>
      </c>
      <c r="R8" s="7">
        <v>227</v>
      </c>
      <c r="S8" s="7" t="s">
        <v>198</v>
      </c>
      <c r="T8" s="18">
        <v>2581900</v>
      </c>
      <c r="U8" s="19" t="s">
        <v>136</v>
      </c>
      <c r="V8" s="7"/>
    </row>
    <row r="9" spans="2:23" hidden="1" x14ac:dyDescent="0.2">
      <c r="B9" s="10" t="s">
        <v>199</v>
      </c>
      <c r="C9" s="10" t="s">
        <v>200</v>
      </c>
      <c r="D9" s="10" t="s">
        <v>139</v>
      </c>
      <c r="E9" s="10" t="s">
        <v>201</v>
      </c>
      <c r="F9" s="10" t="s">
        <v>163</v>
      </c>
      <c r="G9" s="10" t="s">
        <v>127</v>
      </c>
      <c r="H9" s="10" t="s">
        <v>181</v>
      </c>
      <c r="I9" s="10" t="s">
        <v>202</v>
      </c>
      <c r="J9" s="20">
        <v>5</v>
      </c>
      <c r="K9" s="21">
        <v>12442000</v>
      </c>
      <c r="L9" s="21">
        <v>622000</v>
      </c>
      <c r="M9" s="10" t="s">
        <v>203</v>
      </c>
      <c r="N9" s="10" t="s">
        <v>204</v>
      </c>
      <c r="O9" s="10" t="s">
        <v>132</v>
      </c>
      <c r="P9" s="10" t="s">
        <v>205</v>
      </c>
      <c r="Q9" s="10" t="s">
        <v>206</v>
      </c>
      <c r="R9" s="10">
        <v>24</v>
      </c>
      <c r="S9" s="10" t="s">
        <v>207</v>
      </c>
      <c r="T9" s="21">
        <v>372300</v>
      </c>
      <c r="U9" s="10" t="s">
        <v>187</v>
      </c>
      <c r="V9" s="10"/>
    </row>
    <row r="10" spans="2:23" hidden="1" x14ac:dyDescent="0.2">
      <c r="B10" s="7" t="s">
        <v>208</v>
      </c>
      <c r="C10" s="7" t="s">
        <v>209</v>
      </c>
      <c r="D10" s="7" t="s">
        <v>210</v>
      </c>
      <c r="E10" s="7" t="s">
        <v>211</v>
      </c>
      <c r="F10" s="7" t="s">
        <v>163</v>
      </c>
      <c r="G10" s="7" t="s">
        <v>212</v>
      </c>
      <c r="H10" s="7" t="s">
        <v>213</v>
      </c>
      <c r="I10" s="7" t="s">
        <v>214</v>
      </c>
      <c r="J10" s="17">
        <v>0</v>
      </c>
      <c r="K10" s="18">
        <v>55421000</v>
      </c>
      <c r="L10" s="18">
        <v>0</v>
      </c>
      <c r="M10" s="7" t="s">
        <v>215</v>
      </c>
      <c r="N10" s="7" t="s">
        <v>131</v>
      </c>
      <c r="O10" s="7" t="s">
        <v>132</v>
      </c>
      <c r="P10" s="7" t="s">
        <v>216</v>
      </c>
      <c r="Q10" s="7" t="s">
        <v>217</v>
      </c>
      <c r="R10" s="7">
        <v>20</v>
      </c>
      <c r="S10" s="7" t="s">
        <v>218</v>
      </c>
      <c r="T10" s="18">
        <v>3688400</v>
      </c>
      <c r="U10" s="7" t="s">
        <v>187</v>
      </c>
      <c r="V10" s="7"/>
    </row>
    <row r="11" spans="2:23" x14ac:dyDescent="0.2">
      <c r="B11" s="7" t="s">
        <v>225</v>
      </c>
      <c r="C11" s="7" t="s">
        <v>226</v>
      </c>
      <c r="D11" s="7" t="s">
        <v>227</v>
      </c>
      <c r="E11" s="7" t="s">
        <v>228</v>
      </c>
      <c r="F11" s="7" t="s">
        <v>163</v>
      </c>
      <c r="G11" s="7" t="s">
        <v>173</v>
      </c>
      <c r="H11" s="7" t="s">
        <v>181</v>
      </c>
      <c r="I11" s="7" t="s">
        <v>154</v>
      </c>
      <c r="J11" s="17">
        <v>100</v>
      </c>
      <c r="K11" s="18">
        <v>81723000</v>
      </c>
      <c r="L11" s="18">
        <v>81723000</v>
      </c>
      <c r="M11" s="7" t="s">
        <v>203</v>
      </c>
      <c r="N11" s="7" t="s">
        <v>204</v>
      </c>
      <c r="O11" s="7" t="s">
        <v>144</v>
      </c>
      <c r="P11" s="7" t="s">
        <v>229</v>
      </c>
      <c r="Q11" s="7" t="s">
        <v>230</v>
      </c>
      <c r="R11" s="7">
        <v>128</v>
      </c>
      <c r="S11" s="7" t="s">
        <v>231</v>
      </c>
      <c r="T11" s="18">
        <v>6385400</v>
      </c>
      <c r="U11" s="19" t="s">
        <v>136</v>
      </c>
      <c r="V11" s="7"/>
    </row>
    <row r="12" spans="2:23" x14ac:dyDescent="0.2">
      <c r="B12" s="7" t="s">
        <v>300</v>
      </c>
      <c r="C12" s="7" t="s">
        <v>239</v>
      </c>
      <c r="D12" s="7" t="s">
        <v>179</v>
      </c>
      <c r="E12" s="7" t="s">
        <v>290</v>
      </c>
      <c r="F12" s="7" t="s">
        <v>126</v>
      </c>
      <c r="G12" s="7" t="s">
        <v>173</v>
      </c>
      <c r="H12" s="7" t="s">
        <v>192</v>
      </c>
      <c r="I12" s="7" t="s">
        <v>154</v>
      </c>
      <c r="J12" s="17">
        <v>100</v>
      </c>
      <c r="K12" s="18">
        <v>80692000</v>
      </c>
      <c r="L12" s="18">
        <v>80692000</v>
      </c>
      <c r="M12" s="7" t="s">
        <v>165</v>
      </c>
      <c r="N12" s="7" t="s">
        <v>131</v>
      </c>
      <c r="O12" s="7" t="s">
        <v>183</v>
      </c>
      <c r="P12" s="7" t="s">
        <v>283</v>
      </c>
      <c r="Q12" s="7" t="s">
        <v>301</v>
      </c>
      <c r="R12" s="7">
        <v>174</v>
      </c>
      <c r="S12" s="7" t="s">
        <v>302</v>
      </c>
      <c r="T12" s="18">
        <v>6091500</v>
      </c>
      <c r="U12" s="19" t="s">
        <v>136</v>
      </c>
      <c r="V12" s="7"/>
    </row>
    <row r="13" spans="2:23" hidden="1" x14ac:dyDescent="0.2">
      <c r="B13" s="10" t="s">
        <v>232</v>
      </c>
      <c r="C13" s="10" t="s">
        <v>138</v>
      </c>
      <c r="D13" s="10" t="s">
        <v>150</v>
      </c>
      <c r="E13" s="10" t="s">
        <v>162</v>
      </c>
      <c r="F13" s="10" t="s">
        <v>233</v>
      </c>
      <c r="G13" s="10" t="s">
        <v>127</v>
      </c>
      <c r="H13" s="10" t="s">
        <v>128</v>
      </c>
      <c r="I13" s="10" t="s">
        <v>202</v>
      </c>
      <c r="J13" s="20">
        <v>5</v>
      </c>
      <c r="K13" s="21">
        <v>38846000</v>
      </c>
      <c r="L13" s="21">
        <v>1942000</v>
      </c>
      <c r="M13" s="10" t="s">
        <v>234</v>
      </c>
      <c r="N13" s="10" t="s">
        <v>131</v>
      </c>
      <c r="O13" s="10" t="s">
        <v>144</v>
      </c>
      <c r="P13" s="10" t="s">
        <v>235</v>
      </c>
      <c r="Q13" s="10" t="s">
        <v>236</v>
      </c>
      <c r="R13" s="10">
        <v>49</v>
      </c>
      <c r="S13" s="10" t="s">
        <v>237</v>
      </c>
      <c r="T13" s="21">
        <v>1778800</v>
      </c>
      <c r="U13" s="10" t="s">
        <v>187</v>
      </c>
      <c r="V13" s="10"/>
    </row>
    <row r="14" spans="2:23" hidden="1" x14ac:dyDescent="0.2">
      <c r="B14" s="7" t="s">
        <v>238</v>
      </c>
      <c r="C14" s="7" t="s">
        <v>239</v>
      </c>
      <c r="D14" s="7" t="s">
        <v>240</v>
      </c>
      <c r="E14" s="7" t="s">
        <v>241</v>
      </c>
      <c r="F14" s="7" t="s">
        <v>141</v>
      </c>
      <c r="G14" s="7" t="s">
        <v>242</v>
      </c>
      <c r="H14" s="7" t="s">
        <v>128</v>
      </c>
      <c r="I14" s="7" t="s">
        <v>243</v>
      </c>
      <c r="J14" s="17">
        <v>60</v>
      </c>
      <c r="K14" s="18">
        <v>70212000</v>
      </c>
      <c r="L14" s="18">
        <v>42127000</v>
      </c>
      <c r="M14" s="7" t="s">
        <v>203</v>
      </c>
      <c r="N14" s="7" t="s">
        <v>131</v>
      </c>
      <c r="O14" s="7" t="s">
        <v>183</v>
      </c>
      <c r="P14" s="7" t="s">
        <v>244</v>
      </c>
      <c r="Q14" s="7" t="s">
        <v>245</v>
      </c>
      <c r="R14" s="7">
        <v>8</v>
      </c>
      <c r="S14" s="7" t="s">
        <v>246</v>
      </c>
      <c r="T14" s="18">
        <v>4511400</v>
      </c>
      <c r="U14" s="7" t="s">
        <v>187</v>
      </c>
      <c r="V14" s="7"/>
    </row>
    <row r="15" spans="2:23" hidden="1" x14ac:dyDescent="0.2">
      <c r="B15" s="10" t="s">
        <v>247</v>
      </c>
      <c r="C15" s="10" t="s">
        <v>138</v>
      </c>
      <c r="D15" s="10" t="s">
        <v>248</v>
      </c>
      <c r="E15" s="10" t="s">
        <v>249</v>
      </c>
      <c r="F15" s="10" t="s">
        <v>141</v>
      </c>
      <c r="G15" s="10" t="s">
        <v>152</v>
      </c>
      <c r="H15" s="10" t="s">
        <v>213</v>
      </c>
      <c r="I15" s="10" t="s">
        <v>129</v>
      </c>
      <c r="J15" s="20">
        <v>35</v>
      </c>
      <c r="K15" s="21">
        <v>37357000</v>
      </c>
      <c r="L15" s="21">
        <v>13075000</v>
      </c>
      <c r="M15" s="10" t="s">
        <v>165</v>
      </c>
      <c r="N15" s="10" t="s">
        <v>204</v>
      </c>
      <c r="O15" s="10" t="s">
        <v>144</v>
      </c>
      <c r="P15" s="10" t="s">
        <v>250</v>
      </c>
      <c r="Q15" s="10" t="s">
        <v>251</v>
      </c>
      <c r="R15" s="10">
        <v>70</v>
      </c>
      <c r="S15" s="10" t="s">
        <v>252</v>
      </c>
      <c r="T15" s="21">
        <v>2509000</v>
      </c>
      <c r="U15" s="10" t="s">
        <v>187</v>
      </c>
      <c r="V15" s="10"/>
    </row>
    <row r="16" spans="2:23" x14ac:dyDescent="0.2">
      <c r="B16" s="7" t="s">
        <v>253</v>
      </c>
      <c r="C16" s="7" t="s">
        <v>123</v>
      </c>
      <c r="D16" s="7" t="s">
        <v>254</v>
      </c>
      <c r="E16" s="7" t="s">
        <v>255</v>
      </c>
      <c r="F16" s="7" t="s">
        <v>141</v>
      </c>
      <c r="G16" s="7" t="s">
        <v>256</v>
      </c>
      <c r="H16" s="7" t="s">
        <v>213</v>
      </c>
      <c r="I16" s="7" t="s">
        <v>182</v>
      </c>
      <c r="J16" s="17">
        <v>15</v>
      </c>
      <c r="K16" s="18">
        <v>67798000</v>
      </c>
      <c r="L16" s="18">
        <v>10170000</v>
      </c>
      <c r="M16" s="7" t="s">
        <v>174</v>
      </c>
      <c r="N16" s="7" t="s">
        <v>194</v>
      </c>
      <c r="O16" s="7" t="s">
        <v>144</v>
      </c>
      <c r="P16" s="7" t="s">
        <v>257</v>
      </c>
      <c r="Q16" s="7" t="s">
        <v>258</v>
      </c>
      <c r="R16" s="7">
        <v>137</v>
      </c>
      <c r="S16" s="7" t="s">
        <v>259</v>
      </c>
      <c r="T16" s="18">
        <v>2586300</v>
      </c>
      <c r="U16" s="19" t="s">
        <v>136</v>
      </c>
      <c r="V16" s="7"/>
    </row>
    <row r="17" spans="2:22" hidden="1" x14ac:dyDescent="0.2">
      <c r="B17" s="10" t="s">
        <v>260</v>
      </c>
      <c r="C17" s="10" t="s">
        <v>261</v>
      </c>
      <c r="D17" s="10" t="s">
        <v>210</v>
      </c>
      <c r="E17" s="10" t="s">
        <v>262</v>
      </c>
      <c r="F17" s="10" t="s">
        <v>141</v>
      </c>
      <c r="G17" s="10" t="s">
        <v>263</v>
      </c>
      <c r="H17" s="10" t="s">
        <v>181</v>
      </c>
      <c r="I17" s="10" t="s">
        <v>214</v>
      </c>
      <c r="J17" s="20">
        <v>0</v>
      </c>
      <c r="K17" s="21">
        <v>49702000</v>
      </c>
      <c r="L17" s="21">
        <v>0</v>
      </c>
      <c r="M17" s="10" t="s">
        <v>165</v>
      </c>
      <c r="N17" s="10" t="s">
        <v>194</v>
      </c>
      <c r="O17" s="10" t="s">
        <v>183</v>
      </c>
      <c r="P17" s="10" t="s">
        <v>264</v>
      </c>
      <c r="Q17" s="10" t="s">
        <v>207</v>
      </c>
      <c r="R17" s="10">
        <v>66</v>
      </c>
      <c r="S17" s="10" t="s">
        <v>265</v>
      </c>
      <c r="T17" s="21">
        <v>2307100</v>
      </c>
      <c r="U17" s="10" t="s">
        <v>187</v>
      </c>
      <c r="V17" s="10"/>
    </row>
    <row r="18" spans="2:22" x14ac:dyDescent="0.2">
      <c r="B18" s="7" t="s">
        <v>266</v>
      </c>
      <c r="C18" s="7" t="s">
        <v>200</v>
      </c>
      <c r="D18" s="7" t="s">
        <v>210</v>
      </c>
      <c r="E18" s="7" t="s">
        <v>267</v>
      </c>
      <c r="F18" s="7" t="s">
        <v>268</v>
      </c>
      <c r="G18" s="7" t="s">
        <v>212</v>
      </c>
      <c r="H18" s="7" t="s">
        <v>192</v>
      </c>
      <c r="I18" s="7" t="s">
        <v>154</v>
      </c>
      <c r="J18" s="17">
        <v>100</v>
      </c>
      <c r="K18" s="18">
        <v>36801000</v>
      </c>
      <c r="L18" s="18">
        <v>36801000</v>
      </c>
      <c r="M18" s="7" t="s">
        <v>215</v>
      </c>
      <c r="N18" s="7" t="s">
        <v>131</v>
      </c>
      <c r="O18" s="7" t="s">
        <v>195</v>
      </c>
      <c r="P18" s="7" t="s">
        <v>156</v>
      </c>
      <c r="Q18" s="7" t="s">
        <v>269</v>
      </c>
      <c r="R18" s="7">
        <v>139</v>
      </c>
      <c r="S18" s="7" t="s">
        <v>270</v>
      </c>
      <c r="T18" s="18">
        <v>1711600</v>
      </c>
      <c r="U18" s="19" t="s">
        <v>136</v>
      </c>
      <c r="V18" s="7"/>
    </row>
    <row r="19" spans="2:22" hidden="1" x14ac:dyDescent="0.2">
      <c r="B19" s="10" t="s">
        <v>271</v>
      </c>
      <c r="C19" s="10" t="s">
        <v>272</v>
      </c>
      <c r="D19" s="10" t="s">
        <v>273</v>
      </c>
      <c r="E19" s="10" t="s">
        <v>274</v>
      </c>
      <c r="F19" s="10" t="s">
        <v>268</v>
      </c>
      <c r="G19" s="10" t="s">
        <v>256</v>
      </c>
      <c r="H19" s="10" t="s">
        <v>128</v>
      </c>
      <c r="I19" s="10" t="s">
        <v>243</v>
      </c>
      <c r="J19" s="20">
        <v>60</v>
      </c>
      <c r="K19" s="21">
        <v>73167000</v>
      </c>
      <c r="L19" s="21">
        <v>43900000</v>
      </c>
      <c r="M19" s="10" t="s">
        <v>275</v>
      </c>
      <c r="N19" s="10" t="s">
        <v>194</v>
      </c>
      <c r="O19" s="10" t="s">
        <v>132</v>
      </c>
      <c r="P19" s="10" t="s">
        <v>276</v>
      </c>
      <c r="Q19" s="10" t="s">
        <v>206</v>
      </c>
      <c r="R19" s="10">
        <v>39</v>
      </c>
      <c r="S19" s="10" t="s">
        <v>277</v>
      </c>
      <c r="T19" s="21">
        <v>1673500</v>
      </c>
      <c r="U19" s="10" t="s">
        <v>187</v>
      </c>
      <c r="V19" s="10"/>
    </row>
    <row r="20" spans="2:22" x14ac:dyDescent="0.2">
      <c r="B20" s="7" t="s">
        <v>278</v>
      </c>
      <c r="C20" s="7" t="s">
        <v>123</v>
      </c>
      <c r="D20" s="7" t="s">
        <v>254</v>
      </c>
      <c r="E20" s="7" t="s">
        <v>279</v>
      </c>
      <c r="F20" s="7" t="s">
        <v>126</v>
      </c>
      <c r="G20" s="7" t="s">
        <v>263</v>
      </c>
      <c r="H20" s="7" t="s">
        <v>280</v>
      </c>
      <c r="I20" s="7" t="s">
        <v>182</v>
      </c>
      <c r="J20" s="17">
        <v>15</v>
      </c>
      <c r="K20" s="18">
        <v>59410000</v>
      </c>
      <c r="L20" s="18">
        <v>8912000</v>
      </c>
      <c r="M20" s="7" t="s">
        <v>143</v>
      </c>
      <c r="N20" s="7" t="s">
        <v>204</v>
      </c>
      <c r="O20" s="7" t="s">
        <v>183</v>
      </c>
      <c r="P20" s="7" t="s">
        <v>281</v>
      </c>
      <c r="Q20" s="7" t="s">
        <v>282</v>
      </c>
      <c r="R20" s="7">
        <v>177</v>
      </c>
      <c r="S20" s="7" t="s">
        <v>283</v>
      </c>
      <c r="T20" s="18">
        <v>4534500</v>
      </c>
      <c r="U20" s="19" t="s">
        <v>136</v>
      </c>
      <c r="V20" s="7"/>
    </row>
    <row r="21" spans="2:22" hidden="1" x14ac:dyDescent="0.2">
      <c r="B21" s="10" t="s">
        <v>284</v>
      </c>
      <c r="C21" s="10" t="s">
        <v>170</v>
      </c>
      <c r="D21" s="10" t="s">
        <v>248</v>
      </c>
      <c r="E21" s="10" t="s">
        <v>285</v>
      </c>
      <c r="F21" s="10" t="s">
        <v>141</v>
      </c>
      <c r="G21" s="10" t="s">
        <v>173</v>
      </c>
      <c r="H21" s="10" t="s">
        <v>153</v>
      </c>
      <c r="I21" s="10" t="s">
        <v>129</v>
      </c>
      <c r="J21" s="20">
        <v>35</v>
      </c>
      <c r="K21" s="21">
        <v>23980000</v>
      </c>
      <c r="L21" s="21">
        <v>8393000</v>
      </c>
      <c r="M21" s="10" t="s">
        <v>203</v>
      </c>
      <c r="N21" s="10" t="s">
        <v>221</v>
      </c>
      <c r="O21" s="10" t="s">
        <v>195</v>
      </c>
      <c r="P21" s="10" t="s">
        <v>286</v>
      </c>
      <c r="Q21" s="10" t="s">
        <v>287</v>
      </c>
      <c r="R21" s="10">
        <v>23</v>
      </c>
      <c r="S21" s="10" t="s">
        <v>288</v>
      </c>
      <c r="T21" s="21">
        <v>525000</v>
      </c>
      <c r="U21" s="10" t="s">
        <v>187</v>
      </c>
      <c r="V21" s="10"/>
    </row>
    <row r="22" spans="2:22" hidden="1" x14ac:dyDescent="0.2">
      <c r="B22" s="7" t="s">
        <v>289</v>
      </c>
      <c r="C22" s="7" t="s">
        <v>189</v>
      </c>
      <c r="D22" s="7" t="s">
        <v>139</v>
      </c>
      <c r="E22" s="7" t="s">
        <v>290</v>
      </c>
      <c r="F22" s="7" t="s">
        <v>141</v>
      </c>
      <c r="G22" s="7" t="s">
        <v>242</v>
      </c>
      <c r="H22" s="7" t="s">
        <v>181</v>
      </c>
      <c r="I22" s="7" t="s">
        <v>154</v>
      </c>
      <c r="J22" s="17">
        <v>100</v>
      </c>
      <c r="K22" s="18">
        <v>45721000</v>
      </c>
      <c r="L22" s="18">
        <v>45721000</v>
      </c>
      <c r="M22" s="7" t="s">
        <v>130</v>
      </c>
      <c r="N22" s="7" t="s">
        <v>194</v>
      </c>
      <c r="O22" s="7" t="s">
        <v>183</v>
      </c>
      <c r="P22" s="7" t="s">
        <v>291</v>
      </c>
      <c r="Q22" s="7" t="s">
        <v>292</v>
      </c>
      <c r="R22" s="7">
        <v>54</v>
      </c>
      <c r="S22" s="7" t="s">
        <v>293</v>
      </c>
      <c r="T22" s="18">
        <v>2229800</v>
      </c>
      <c r="U22" s="7" t="s">
        <v>187</v>
      </c>
      <c r="V22" s="7"/>
    </row>
    <row r="23" spans="2:22" x14ac:dyDescent="0.2">
      <c r="B23" s="10" t="s">
        <v>390</v>
      </c>
      <c r="C23" s="10" t="s">
        <v>304</v>
      </c>
      <c r="D23" s="10" t="s">
        <v>254</v>
      </c>
      <c r="E23" s="10" t="s">
        <v>391</v>
      </c>
      <c r="F23" s="10" t="s">
        <v>141</v>
      </c>
      <c r="G23" s="10" t="s">
        <v>173</v>
      </c>
      <c r="H23" s="10" t="s">
        <v>181</v>
      </c>
      <c r="I23" s="10" t="s">
        <v>182</v>
      </c>
      <c r="J23" s="20">
        <v>15</v>
      </c>
      <c r="K23" s="21">
        <v>74493000</v>
      </c>
      <c r="L23" s="21">
        <v>11174000</v>
      </c>
      <c r="M23" s="10" t="s">
        <v>234</v>
      </c>
      <c r="N23" s="10" t="s">
        <v>131</v>
      </c>
      <c r="O23" s="10" t="s">
        <v>183</v>
      </c>
      <c r="P23" s="10" t="s">
        <v>392</v>
      </c>
      <c r="Q23" s="10" t="s">
        <v>393</v>
      </c>
      <c r="R23" s="10">
        <v>202</v>
      </c>
      <c r="S23" s="10" t="s">
        <v>394</v>
      </c>
      <c r="T23" s="21">
        <v>5934100</v>
      </c>
      <c r="U23" s="22" t="s">
        <v>136</v>
      </c>
      <c r="V23" s="10"/>
    </row>
    <row r="24" spans="2:22" hidden="1" x14ac:dyDescent="0.2">
      <c r="B24" s="7" t="s">
        <v>571</v>
      </c>
      <c r="C24" s="7" t="s">
        <v>307</v>
      </c>
      <c r="D24" s="7" t="s">
        <v>139</v>
      </c>
      <c r="E24" s="7" t="s">
        <v>525</v>
      </c>
      <c r="F24" s="7" t="s">
        <v>268</v>
      </c>
      <c r="G24" s="7" t="s">
        <v>212</v>
      </c>
      <c r="H24" s="7" t="s">
        <v>192</v>
      </c>
      <c r="I24" s="7" t="s">
        <v>214</v>
      </c>
      <c r="J24" s="17">
        <v>0</v>
      </c>
      <c r="K24" s="18">
        <v>76459000</v>
      </c>
      <c r="L24" s="18">
        <v>0</v>
      </c>
      <c r="M24" s="7" t="s">
        <v>275</v>
      </c>
      <c r="N24" s="7" t="s">
        <v>131</v>
      </c>
      <c r="O24" s="7" t="s">
        <v>183</v>
      </c>
      <c r="P24" s="7" t="s">
        <v>473</v>
      </c>
      <c r="Q24" s="7" t="s">
        <v>572</v>
      </c>
      <c r="R24" s="7">
        <v>4</v>
      </c>
      <c r="S24" s="7" t="s">
        <v>288</v>
      </c>
      <c r="T24" s="18">
        <v>5672300</v>
      </c>
      <c r="U24" s="7" t="s">
        <v>187</v>
      </c>
      <c r="V24" s="7"/>
    </row>
    <row r="25" spans="2:22" x14ac:dyDescent="0.2">
      <c r="B25" s="10" t="s">
        <v>303</v>
      </c>
      <c r="C25" s="10" t="s">
        <v>304</v>
      </c>
      <c r="D25" s="10" t="s">
        <v>210</v>
      </c>
      <c r="E25" s="10" t="s">
        <v>162</v>
      </c>
      <c r="F25" s="10" t="s">
        <v>163</v>
      </c>
      <c r="G25" s="10" t="s">
        <v>212</v>
      </c>
      <c r="H25" s="10" t="s">
        <v>164</v>
      </c>
      <c r="I25" s="10" t="s">
        <v>214</v>
      </c>
      <c r="J25" s="20">
        <v>0</v>
      </c>
      <c r="K25" s="21">
        <v>13320000</v>
      </c>
      <c r="L25" s="21">
        <v>0</v>
      </c>
      <c r="M25" s="10" t="s">
        <v>234</v>
      </c>
      <c r="N25" s="10" t="s">
        <v>155</v>
      </c>
      <c r="O25" s="10" t="s">
        <v>132</v>
      </c>
      <c r="P25" s="10" t="s">
        <v>224</v>
      </c>
      <c r="Q25" s="10" t="s">
        <v>197</v>
      </c>
      <c r="R25" s="10">
        <v>214</v>
      </c>
      <c r="S25" s="10" t="s">
        <v>305</v>
      </c>
      <c r="T25" s="21">
        <v>658600</v>
      </c>
      <c r="U25" s="22" t="s">
        <v>136</v>
      </c>
      <c r="V25" s="10"/>
    </row>
    <row r="26" spans="2:22" x14ac:dyDescent="0.2">
      <c r="B26" s="7" t="s">
        <v>306</v>
      </c>
      <c r="C26" s="7" t="s">
        <v>307</v>
      </c>
      <c r="D26" s="7" t="s">
        <v>273</v>
      </c>
      <c r="E26" s="7" t="s">
        <v>308</v>
      </c>
      <c r="F26" s="7" t="s">
        <v>163</v>
      </c>
      <c r="G26" s="7" t="s">
        <v>127</v>
      </c>
      <c r="H26" s="7" t="s">
        <v>164</v>
      </c>
      <c r="I26" s="7" t="s">
        <v>202</v>
      </c>
      <c r="J26" s="17">
        <v>5</v>
      </c>
      <c r="K26" s="18">
        <v>78714000</v>
      </c>
      <c r="L26" s="18">
        <v>3936000</v>
      </c>
      <c r="M26" s="7" t="s">
        <v>143</v>
      </c>
      <c r="N26" s="7" t="s">
        <v>309</v>
      </c>
      <c r="O26" s="7" t="s">
        <v>144</v>
      </c>
      <c r="P26" s="7" t="s">
        <v>167</v>
      </c>
      <c r="Q26" s="7" t="s">
        <v>310</v>
      </c>
      <c r="R26" s="7">
        <v>218</v>
      </c>
      <c r="S26" s="7" t="s">
        <v>302</v>
      </c>
      <c r="T26" s="18">
        <v>4216500</v>
      </c>
      <c r="U26" s="19" t="s">
        <v>136</v>
      </c>
      <c r="V26" s="7"/>
    </row>
    <row r="27" spans="2:22" x14ac:dyDescent="0.2">
      <c r="B27" s="10" t="s">
        <v>311</v>
      </c>
      <c r="C27" s="10" t="s">
        <v>209</v>
      </c>
      <c r="D27" s="10" t="s">
        <v>227</v>
      </c>
      <c r="E27" s="10" t="s">
        <v>312</v>
      </c>
      <c r="F27" s="10" t="s">
        <v>233</v>
      </c>
      <c r="G27" s="10" t="s">
        <v>256</v>
      </c>
      <c r="H27" s="10" t="s">
        <v>128</v>
      </c>
      <c r="I27" s="10" t="s">
        <v>202</v>
      </c>
      <c r="J27" s="20">
        <v>5</v>
      </c>
      <c r="K27" s="21">
        <v>25009000</v>
      </c>
      <c r="L27" s="21">
        <v>1250000</v>
      </c>
      <c r="M27" s="10" t="s">
        <v>143</v>
      </c>
      <c r="N27" s="10" t="s">
        <v>131</v>
      </c>
      <c r="O27" s="10" t="s">
        <v>195</v>
      </c>
      <c r="P27" s="10" t="s">
        <v>313</v>
      </c>
      <c r="Q27" s="10" t="s">
        <v>231</v>
      </c>
      <c r="R27" s="10">
        <v>117</v>
      </c>
      <c r="S27" s="10" t="s">
        <v>314</v>
      </c>
      <c r="T27" s="21">
        <v>1487700</v>
      </c>
      <c r="U27" s="22" t="s">
        <v>136</v>
      </c>
      <c r="V27" s="10"/>
    </row>
    <row r="28" spans="2:22" x14ac:dyDescent="0.2">
      <c r="B28" s="7" t="s">
        <v>315</v>
      </c>
      <c r="C28" s="7" t="s">
        <v>316</v>
      </c>
      <c r="D28" s="7" t="s">
        <v>150</v>
      </c>
      <c r="E28" s="7" t="s">
        <v>317</v>
      </c>
      <c r="F28" s="7" t="s">
        <v>126</v>
      </c>
      <c r="G28" s="7" t="s">
        <v>173</v>
      </c>
      <c r="H28" s="7" t="s">
        <v>192</v>
      </c>
      <c r="I28" s="7" t="s">
        <v>243</v>
      </c>
      <c r="J28" s="17">
        <v>60</v>
      </c>
      <c r="K28" s="18">
        <v>18351000</v>
      </c>
      <c r="L28" s="18">
        <v>11011000</v>
      </c>
      <c r="M28" s="7" t="s">
        <v>165</v>
      </c>
      <c r="N28" s="7" t="s">
        <v>131</v>
      </c>
      <c r="O28" s="7" t="s">
        <v>195</v>
      </c>
      <c r="P28" s="7" t="s">
        <v>318</v>
      </c>
      <c r="Q28" s="7" t="s">
        <v>319</v>
      </c>
      <c r="R28" s="7">
        <v>216</v>
      </c>
      <c r="S28" s="7" t="s">
        <v>320</v>
      </c>
      <c r="T28" s="18">
        <v>707300</v>
      </c>
      <c r="U28" s="19" t="s">
        <v>136</v>
      </c>
      <c r="V28" s="7"/>
    </row>
    <row r="29" spans="2:22" x14ac:dyDescent="0.2">
      <c r="B29" s="10" t="s">
        <v>321</v>
      </c>
      <c r="C29" s="10" t="s">
        <v>322</v>
      </c>
      <c r="D29" s="10" t="s">
        <v>323</v>
      </c>
      <c r="E29" s="10" t="s">
        <v>324</v>
      </c>
      <c r="F29" s="10" t="s">
        <v>141</v>
      </c>
      <c r="G29" s="10" t="s">
        <v>173</v>
      </c>
      <c r="H29" s="10" t="s">
        <v>142</v>
      </c>
      <c r="I29" s="10" t="s">
        <v>129</v>
      </c>
      <c r="J29" s="20">
        <v>35</v>
      </c>
      <c r="K29" s="21">
        <v>2819000</v>
      </c>
      <c r="L29" s="21">
        <v>987000</v>
      </c>
      <c r="M29" s="10" t="s">
        <v>215</v>
      </c>
      <c r="N29" s="10" t="s">
        <v>194</v>
      </c>
      <c r="O29" s="10" t="s">
        <v>183</v>
      </c>
      <c r="P29" s="10" t="s">
        <v>325</v>
      </c>
      <c r="Q29" s="10" t="s">
        <v>326</v>
      </c>
      <c r="R29" s="10">
        <v>134</v>
      </c>
      <c r="S29" s="10" t="s">
        <v>259</v>
      </c>
      <c r="T29" s="21">
        <v>171700</v>
      </c>
      <c r="U29" s="22" t="s">
        <v>136</v>
      </c>
      <c r="V29" s="10"/>
    </row>
    <row r="30" spans="2:22" x14ac:dyDescent="0.2">
      <c r="B30" s="7" t="s">
        <v>327</v>
      </c>
      <c r="C30" s="7" t="s">
        <v>328</v>
      </c>
      <c r="D30" s="7" t="s">
        <v>161</v>
      </c>
      <c r="E30" s="7" t="s">
        <v>329</v>
      </c>
      <c r="F30" s="7" t="s">
        <v>163</v>
      </c>
      <c r="G30" s="7" t="s">
        <v>152</v>
      </c>
      <c r="H30" s="7" t="s">
        <v>192</v>
      </c>
      <c r="I30" s="7" t="s">
        <v>129</v>
      </c>
      <c r="J30" s="17">
        <v>35</v>
      </c>
      <c r="K30" s="18">
        <v>60559000</v>
      </c>
      <c r="L30" s="18">
        <v>21196000</v>
      </c>
      <c r="M30" s="7" t="s">
        <v>234</v>
      </c>
      <c r="N30" s="7" t="s">
        <v>131</v>
      </c>
      <c r="O30" s="7" t="s">
        <v>132</v>
      </c>
      <c r="P30" s="7" t="s">
        <v>330</v>
      </c>
      <c r="Q30" s="7" t="s">
        <v>331</v>
      </c>
      <c r="R30" s="7">
        <v>171</v>
      </c>
      <c r="S30" s="7" t="s">
        <v>332</v>
      </c>
      <c r="T30" s="18">
        <v>1558500</v>
      </c>
      <c r="U30" s="19" t="s">
        <v>136</v>
      </c>
      <c r="V30" s="7"/>
    </row>
    <row r="31" spans="2:22" x14ac:dyDescent="0.2">
      <c r="B31" s="10" t="s">
        <v>333</v>
      </c>
      <c r="C31" s="10" t="s">
        <v>138</v>
      </c>
      <c r="D31" s="10" t="s">
        <v>139</v>
      </c>
      <c r="E31" s="10" t="s">
        <v>334</v>
      </c>
      <c r="F31" s="10" t="s">
        <v>163</v>
      </c>
      <c r="G31" s="10" t="s">
        <v>263</v>
      </c>
      <c r="H31" s="10" t="s">
        <v>280</v>
      </c>
      <c r="I31" s="10" t="s">
        <v>193</v>
      </c>
      <c r="J31" s="20">
        <v>10</v>
      </c>
      <c r="K31" s="21">
        <v>38781000</v>
      </c>
      <c r="L31" s="21">
        <v>3878000</v>
      </c>
      <c r="M31" s="10" t="s">
        <v>174</v>
      </c>
      <c r="N31" s="10" t="s">
        <v>221</v>
      </c>
      <c r="O31" s="10" t="s">
        <v>132</v>
      </c>
      <c r="P31" s="10" t="s">
        <v>335</v>
      </c>
      <c r="Q31" s="10" t="s">
        <v>336</v>
      </c>
      <c r="R31" s="10">
        <v>242</v>
      </c>
      <c r="S31" s="10" t="s">
        <v>337</v>
      </c>
      <c r="T31" s="21">
        <v>2642800</v>
      </c>
      <c r="U31" s="22" t="s">
        <v>136</v>
      </c>
      <c r="V31" s="10"/>
    </row>
    <row r="32" spans="2:22" x14ac:dyDescent="0.2">
      <c r="B32" s="7" t="s">
        <v>338</v>
      </c>
      <c r="C32" s="7" t="s">
        <v>295</v>
      </c>
      <c r="D32" s="7" t="s">
        <v>171</v>
      </c>
      <c r="E32" s="7" t="s">
        <v>339</v>
      </c>
      <c r="F32" s="7" t="s">
        <v>141</v>
      </c>
      <c r="G32" s="7" t="s">
        <v>340</v>
      </c>
      <c r="H32" s="7" t="s">
        <v>181</v>
      </c>
      <c r="I32" s="7" t="s">
        <v>129</v>
      </c>
      <c r="J32" s="17">
        <v>35</v>
      </c>
      <c r="K32" s="18">
        <v>39117000</v>
      </c>
      <c r="L32" s="18">
        <v>13691000</v>
      </c>
      <c r="M32" s="7" t="s">
        <v>165</v>
      </c>
      <c r="N32" s="7" t="s">
        <v>131</v>
      </c>
      <c r="O32" s="7" t="s">
        <v>132</v>
      </c>
      <c r="P32" s="7" t="s">
        <v>341</v>
      </c>
      <c r="Q32" s="7" t="s">
        <v>342</v>
      </c>
      <c r="R32" s="7">
        <v>235</v>
      </c>
      <c r="S32" s="7" t="s">
        <v>343</v>
      </c>
      <c r="T32" s="18">
        <v>2023800</v>
      </c>
      <c r="U32" s="19" t="s">
        <v>136</v>
      </c>
      <c r="V32" s="7"/>
    </row>
    <row r="33" spans="2:22" x14ac:dyDescent="0.2">
      <c r="B33" s="10" t="s">
        <v>344</v>
      </c>
      <c r="C33" s="10" t="s">
        <v>345</v>
      </c>
      <c r="D33" s="10" t="s">
        <v>139</v>
      </c>
      <c r="E33" s="10" t="s">
        <v>346</v>
      </c>
      <c r="F33" s="10" t="s">
        <v>163</v>
      </c>
      <c r="G33" s="10" t="s">
        <v>212</v>
      </c>
      <c r="H33" s="10" t="s">
        <v>213</v>
      </c>
      <c r="I33" s="10" t="s">
        <v>154</v>
      </c>
      <c r="J33" s="20">
        <v>100</v>
      </c>
      <c r="K33" s="21">
        <v>27301000</v>
      </c>
      <c r="L33" s="21">
        <v>27301000</v>
      </c>
      <c r="M33" s="10" t="s">
        <v>234</v>
      </c>
      <c r="N33" s="10" t="s">
        <v>131</v>
      </c>
      <c r="O33" s="10" t="s">
        <v>195</v>
      </c>
      <c r="P33" s="10" t="s">
        <v>347</v>
      </c>
      <c r="Q33" s="10" t="s">
        <v>348</v>
      </c>
      <c r="R33" s="10">
        <v>144</v>
      </c>
      <c r="S33" s="10" t="s">
        <v>349</v>
      </c>
      <c r="T33" s="21">
        <v>1677000</v>
      </c>
      <c r="U33" s="22" t="s">
        <v>136</v>
      </c>
      <c r="V33" s="10"/>
    </row>
    <row r="34" spans="2:22" hidden="1" x14ac:dyDescent="0.2">
      <c r="B34" s="7" t="s">
        <v>350</v>
      </c>
      <c r="C34" s="7" t="s">
        <v>123</v>
      </c>
      <c r="D34" s="7" t="s">
        <v>273</v>
      </c>
      <c r="E34" s="7" t="s">
        <v>201</v>
      </c>
      <c r="F34" s="7" t="s">
        <v>163</v>
      </c>
      <c r="G34" s="7" t="s">
        <v>340</v>
      </c>
      <c r="H34" s="7" t="s">
        <v>142</v>
      </c>
      <c r="I34" s="7" t="s">
        <v>243</v>
      </c>
      <c r="J34" s="17">
        <v>60</v>
      </c>
      <c r="K34" s="18">
        <v>29495000</v>
      </c>
      <c r="L34" s="18">
        <v>17697000</v>
      </c>
      <c r="M34" s="7" t="s">
        <v>165</v>
      </c>
      <c r="N34" s="7" t="s">
        <v>221</v>
      </c>
      <c r="O34" s="7" t="s">
        <v>132</v>
      </c>
      <c r="P34" s="7" t="s">
        <v>264</v>
      </c>
      <c r="Q34" s="7" t="s">
        <v>351</v>
      </c>
      <c r="R34" s="7">
        <v>66</v>
      </c>
      <c r="S34" s="7" t="s">
        <v>297</v>
      </c>
      <c r="T34" s="18">
        <v>1775900</v>
      </c>
      <c r="U34" s="7" t="s">
        <v>187</v>
      </c>
      <c r="V34" s="7"/>
    </row>
    <row r="35" spans="2:22" x14ac:dyDescent="0.2">
      <c r="B35" s="10" t="s">
        <v>352</v>
      </c>
      <c r="C35" s="10" t="s">
        <v>272</v>
      </c>
      <c r="D35" s="10" t="s">
        <v>124</v>
      </c>
      <c r="E35" s="10" t="s">
        <v>353</v>
      </c>
      <c r="F35" s="10" t="s">
        <v>268</v>
      </c>
      <c r="G35" s="10" t="s">
        <v>340</v>
      </c>
      <c r="H35" s="10" t="s">
        <v>181</v>
      </c>
      <c r="I35" s="10" t="s">
        <v>129</v>
      </c>
      <c r="J35" s="20">
        <v>35</v>
      </c>
      <c r="K35" s="21">
        <v>56328000</v>
      </c>
      <c r="L35" s="21">
        <v>19715000</v>
      </c>
      <c r="M35" s="10" t="s">
        <v>165</v>
      </c>
      <c r="N35" s="10" t="s">
        <v>194</v>
      </c>
      <c r="O35" s="10" t="s">
        <v>195</v>
      </c>
      <c r="P35" s="10" t="s">
        <v>354</v>
      </c>
      <c r="Q35" s="10" t="s">
        <v>355</v>
      </c>
      <c r="R35" s="10">
        <v>241</v>
      </c>
      <c r="S35" s="10" t="s">
        <v>355</v>
      </c>
      <c r="T35" s="21">
        <v>3595700</v>
      </c>
      <c r="U35" s="22" t="s">
        <v>136</v>
      </c>
      <c r="V35" s="10"/>
    </row>
    <row r="36" spans="2:22" hidden="1" x14ac:dyDescent="0.2">
      <c r="B36" s="7" t="s">
        <v>356</v>
      </c>
      <c r="C36" s="7" t="s">
        <v>160</v>
      </c>
      <c r="D36" s="7" t="s">
        <v>323</v>
      </c>
      <c r="E36" s="7" t="s">
        <v>308</v>
      </c>
      <c r="F36" s="7" t="s">
        <v>268</v>
      </c>
      <c r="G36" s="7" t="s">
        <v>152</v>
      </c>
      <c r="H36" s="7" t="s">
        <v>192</v>
      </c>
      <c r="I36" s="7" t="s">
        <v>129</v>
      </c>
      <c r="J36" s="17">
        <v>35</v>
      </c>
      <c r="K36" s="18">
        <v>58108000</v>
      </c>
      <c r="L36" s="18">
        <v>20338000</v>
      </c>
      <c r="M36" s="7" t="s">
        <v>275</v>
      </c>
      <c r="N36" s="7" t="s">
        <v>309</v>
      </c>
      <c r="O36" s="7" t="s">
        <v>183</v>
      </c>
      <c r="P36" s="7" t="s">
        <v>357</v>
      </c>
      <c r="Q36" s="7" t="s">
        <v>358</v>
      </c>
      <c r="R36" s="7">
        <v>12</v>
      </c>
      <c r="S36" s="7" t="s">
        <v>246</v>
      </c>
      <c r="T36" s="18">
        <v>4370400</v>
      </c>
      <c r="U36" s="7" t="s">
        <v>187</v>
      </c>
      <c r="V36" s="7"/>
    </row>
    <row r="37" spans="2:22" x14ac:dyDescent="0.2">
      <c r="B37" s="10" t="s">
        <v>359</v>
      </c>
      <c r="C37" s="10" t="s">
        <v>295</v>
      </c>
      <c r="D37" s="10" t="s">
        <v>124</v>
      </c>
      <c r="E37" s="10" t="s">
        <v>360</v>
      </c>
      <c r="F37" s="10" t="s">
        <v>268</v>
      </c>
      <c r="G37" s="10" t="s">
        <v>173</v>
      </c>
      <c r="H37" s="10" t="s">
        <v>142</v>
      </c>
      <c r="I37" s="10" t="s">
        <v>202</v>
      </c>
      <c r="J37" s="20">
        <v>5</v>
      </c>
      <c r="K37" s="21">
        <v>40500000</v>
      </c>
      <c r="L37" s="21">
        <v>2025000</v>
      </c>
      <c r="M37" s="10" t="s">
        <v>130</v>
      </c>
      <c r="N37" s="10" t="s">
        <v>194</v>
      </c>
      <c r="O37" s="10" t="s">
        <v>195</v>
      </c>
      <c r="P37" s="10" t="s">
        <v>361</v>
      </c>
      <c r="Q37" s="10" t="s">
        <v>362</v>
      </c>
      <c r="R37" s="10">
        <v>169</v>
      </c>
      <c r="S37" s="10" t="s">
        <v>259</v>
      </c>
      <c r="T37" s="21">
        <v>1242200</v>
      </c>
      <c r="U37" s="22" t="s">
        <v>136</v>
      </c>
      <c r="V37" s="10"/>
    </row>
    <row r="38" spans="2:22" hidden="1" x14ac:dyDescent="0.2">
      <c r="B38" s="7" t="s">
        <v>363</v>
      </c>
      <c r="C38" s="7" t="s">
        <v>138</v>
      </c>
      <c r="D38" s="7" t="s">
        <v>254</v>
      </c>
      <c r="E38" s="7" t="s">
        <v>364</v>
      </c>
      <c r="F38" s="7" t="s">
        <v>268</v>
      </c>
      <c r="G38" s="7" t="s">
        <v>173</v>
      </c>
      <c r="H38" s="7" t="s">
        <v>280</v>
      </c>
      <c r="I38" s="7" t="s">
        <v>129</v>
      </c>
      <c r="J38" s="17">
        <v>35</v>
      </c>
      <c r="K38" s="18">
        <v>36250000</v>
      </c>
      <c r="L38" s="18">
        <v>12688000</v>
      </c>
      <c r="M38" s="7" t="s">
        <v>165</v>
      </c>
      <c r="N38" s="7" t="s">
        <v>131</v>
      </c>
      <c r="O38" s="7" t="s">
        <v>132</v>
      </c>
      <c r="P38" s="7" t="s">
        <v>357</v>
      </c>
      <c r="Q38" s="7" t="s">
        <v>365</v>
      </c>
      <c r="R38" s="7">
        <v>12</v>
      </c>
      <c r="S38" s="7" t="s">
        <v>366</v>
      </c>
      <c r="T38" s="18">
        <v>2437300</v>
      </c>
      <c r="U38" s="7" t="s">
        <v>187</v>
      </c>
      <c r="V38" s="7"/>
    </row>
    <row r="39" spans="2:22" x14ac:dyDescent="0.2">
      <c r="B39" s="10" t="s">
        <v>367</v>
      </c>
      <c r="C39" s="10" t="s">
        <v>272</v>
      </c>
      <c r="D39" s="10" t="s">
        <v>323</v>
      </c>
      <c r="E39" s="10" t="s">
        <v>368</v>
      </c>
      <c r="F39" s="10" t="s">
        <v>141</v>
      </c>
      <c r="G39" s="10" t="s">
        <v>212</v>
      </c>
      <c r="H39" s="10" t="s">
        <v>142</v>
      </c>
      <c r="I39" s="10" t="s">
        <v>243</v>
      </c>
      <c r="J39" s="20">
        <v>60</v>
      </c>
      <c r="K39" s="21">
        <v>43385000</v>
      </c>
      <c r="L39" s="21">
        <v>26031000</v>
      </c>
      <c r="M39" s="10" t="s">
        <v>275</v>
      </c>
      <c r="N39" s="10" t="s">
        <v>131</v>
      </c>
      <c r="O39" s="10" t="s">
        <v>144</v>
      </c>
      <c r="P39" s="10" t="s">
        <v>369</v>
      </c>
      <c r="Q39" s="10" t="s">
        <v>235</v>
      </c>
      <c r="R39" s="10">
        <v>92</v>
      </c>
      <c r="S39" s="10" t="s">
        <v>331</v>
      </c>
      <c r="T39" s="21">
        <v>3077200</v>
      </c>
      <c r="U39" s="22" t="s">
        <v>136</v>
      </c>
      <c r="V39" s="10"/>
    </row>
    <row r="40" spans="2:22" hidden="1" x14ac:dyDescent="0.2">
      <c r="B40" s="7" t="s">
        <v>370</v>
      </c>
      <c r="C40" s="7" t="s">
        <v>200</v>
      </c>
      <c r="D40" s="7" t="s">
        <v>323</v>
      </c>
      <c r="E40" s="7" t="s">
        <v>211</v>
      </c>
      <c r="F40" s="7" t="s">
        <v>163</v>
      </c>
      <c r="G40" s="7" t="s">
        <v>173</v>
      </c>
      <c r="H40" s="7" t="s">
        <v>128</v>
      </c>
      <c r="I40" s="7" t="s">
        <v>182</v>
      </c>
      <c r="J40" s="17">
        <v>15</v>
      </c>
      <c r="K40" s="18">
        <v>23619000</v>
      </c>
      <c r="L40" s="18">
        <v>3543000</v>
      </c>
      <c r="M40" s="7" t="s">
        <v>234</v>
      </c>
      <c r="N40" s="7" t="s">
        <v>131</v>
      </c>
      <c r="O40" s="7" t="s">
        <v>144</v>
      </c>
      <c r="P40" s="7" t="s">
        <v>184</v>
      </c>
      <c r="Q40" s="7" t="s">
        <v>371</v>
      </c>
      <c r="R40" s="7">
        <v>58</v>
      </c>
      <c r="S40" s="7" t="s">
        <v>372</v>
      </c>
      <c r="T40" s="18">
        <v>1837100</v>
      </c>
      <c r="U40" s="7" t="s">
        <v>187</v>
      </c>
      <c r="V40" s="7"/>
    </row>
    <row r="41" spans="2:22" x14ac:dyDescent="0.2">
      <c r="B41" s="10" t="s">
        <v>373</v>
      </c>
      <c r="C41" s="10" t="s">
        <v>374</v>
      </c>
      <c r="D41" s="10" t="s">
        <v>323</v>
      </c>
      <c r="E41" s="10" t="s">
        <v>375</v>
      </c>
      <c r="F41" s="10" t="s">
        <v>141</v>
      </c>
      <c r="G41" s="10" t="s">
        <v>127</v>
      </c>
      <c r="H41" s="10" t="s">
        <v>164</v>
      </c>
      <c r="I41" s="10" t="s">
        <v>129</v>
      </c>
      <c r="J41" s="20">
        <v>35</v>
      </c>
      <c r="K41" s="21">
        <v>10117000</v>
      </c>
      <c r="L41" s="21">
        <v>3541000</v>
      </c>
      <c r="M41" s="10" t="s">
        <v>215</v>
      </c>
      <c r="N41" s="10" t="s">
        <v>194</v>
      </c>
      <c r="O41" s="10" t="s">
        <v>183</v>
      </c>
      <c r="P41" s="10" t="s">
        <v>376</v>
      </c>
      <c r="Q41" s="10" t="s">
        <v>291</v>
      </c>
      <c r="R41" s="10">
        <v>113</v>
      </c>
      <c r="S41" s="10" t="s">
        <v>250</v>
      </c>
      <c r="T41" s="21">
        <v>655100</v>
      </c>
      <c r="U41" s="22" t="s">
        <v>136</v>
      </c>
      <c r="V41" s="10"/>
    </row>
    <row r="42" spans="2:22" x14ac:dyDescent="0.2">
      <c r="B42" s="7" t="s">
        <v>377</v>
      </c>
      <c r="C42" s="7" t="s">
        <v>200</v>
      </c>
      <c r="D42" s="7" t="s">
        <v>378</v>
      </c>
      <c r="E42" s="7" t="s">
        <v>379</v>
      </c>
      <c r="F42" s="7" t="s">
        <v>268</v>
      </c>
      <c r="G42" s="7" t="s">
        <v>242</v>
      </c>
      <c r="H42" s="7" t="s">
        <v>142</v>
      </c>
      <c r="I42" s="7" t="s">
        <v>202</v>
      </c>
      <c r="J42" s="17">
        <v>5</v>
      </c>
      <c r="K42" s="18">
        <v>27475000</v>
      </c>
      <c r="L42" s="18">
        <v>1374000</v>
      </c>
      <c r="M42" s="7" t="s">
        <v>165</v>
      </c>
      <c r="N42" s="7" t="s">
        <v>131</v>
      </c>
      <c r="O42" s="7" t="s">
        <v>183</v>
      </c>
      <c r="P42" s="7" t="s">
        <v>380</v>
      </c>
      <c r="Q42" s="7" t="s">
        <v>381</v>
      </c>
      <c r="R42" s="7">
        <v>165</v>
      </c>
      <c r="S42" s="7" t="s">
        <v>382</v>
      </c>
      <c r="T42" s="18">
        <v>1662400</v>
      </c>
      <c r="U42" s="19" t="s">
        <v>136</v>
      </c>
      <c r="V42" s="7"/>
    </row>
    <row r="43" spans="2:22" x14ac:dyDescent="0.2">
      <c r="B43" s="10" t="s">
        <v>383</v>
      </c>
      <c r="C43" s="10" t="s">
        <v>123</v>
      </c>
      <c r="D43" s="10" t="s">
        <v>273</v>
      </c>
      <c r="E43" s="10" t="s">
        <v>384</v>
      </c>
      <c r="F43" s="10" t="s">
        <v>126</v>
      </c>
      <c r="G43" s="10" t="s">
        <v>263</v>
      </c>
      <c r="H43" s="10" t="s">
        <v>280</v>
      </c>
      <c r="I43" s="10" t="s">
        <v>182</v>
      </c>
      <c r="J43" s="20">
        <v>15</v>
      </c>
      <c r="K43" s="21">
        <v>11746000</v>
      </c>
      <c r="L43" s="21">
        <v>1762000</v>
      </c>
      <c r="M43" s="10" t="s">
        <v>143</v>
      </c>
      <c r="N43" s="10" t="s">
        <v>194</v>
      </c>
      <c r="O43" s="10" t="s">
        <v>144</v>
      </c>
      <c r="P43" s="10" t="s">
        <v>385</v>
      </c>
      <c r="Q43" s="10" t="s">
        <v>259</v>
      </c>
      <c r="R43" s="10">
        <v>237</v>
      </c>
      <c r="S43" s="10" t="s">
        <v>386</v>
      </c>
      <c r="T43" s="21">
        <v>358200</v>
      </c>
      <c r="U43" s="22" t="s">
        <v>136</v>
      </c>
      <c r="V43" s="10"/>
    </row>
    <row r="44" spans="2:22" x14ac:dyDescent="0.2">
      <c r="B44" s="7" t="s">
        <v>387</v>
      </c>
      <c r="C44" s="7" t="s">
        <v>374</v>
      </c>
      <c r="D44" s="7" t="s">
        <v>240</v>
      </c>
      <c r="E44" s="7" t="s">
        <v>353</v>
      </c>
      <c r="F44" s="7" t="s">
        <v>141</v>
      </c>
      <c r="G44" s="7" t="s">
        <v>263</v>
      </c>
      <c r="H44" s="7" t="s">
        <v>142</v>
      </c>
      <c r="I44" s="7" t="s">
        <v>243</v>
      </c>
      <c r="J44" s="17">
        <v>60</v>
      </c>
      <c r="K44" s="18">
        <v>70980000</v>
      </c>
      <c r="L44" s="18">
        <v>42588000</v>
      </c>
      <c r="M44" s="7" t="s">
        <v>130</v>
      </c>
      <c r="N44" s="7" t="s">
        <v>155</v>
      </c>
      <c r="O44" s="7" t="s">
        <v>132</v>
      </c>
      <c r="P44" s="7" t="s">
        <v>388</v>
      </c>
      <c r="Q44" s="7" t="s">
        <v>389</v>
      </c>
      <c r="R44" s="7">
        <v>109</v>
      </c>
      <c r="S44" s="7" t="s">
        <v>230</v>
      </c>
      <c r="T44" s="18">
        <v>5586600</v>
      </c>
      <c r="U44" s="19" t="s">
        <v>136</v>
      </c>
      <c r="V44" s="7"/>
    </row>
    <row r="45" spans="2:22" hidden="1" x14ac:dyDescent="0.2">
      <c r="B45" s="10" t="s">
        <v>294</v>
      </c>
      <c r="C45" s="10" t="s">
        <v>295</v>
      </c>
      <c r="D45" s="10" t="s">
        <v>248</v>
      </c>
      <c r="E45" s="10" t="s">
        <v>296</v>
      </c>
      <c r="F45" s="10" t="s">
        <v>141</v>
      </c>
      <c r="G45" s="10" t="s">
        <v>127</v>
      </c>
      <c r="H45" s="10" t="s">
        <v>164</v>
      </c>
      <c r="I45" s="10" t="s">
        <v>182</v>
      </c>
      <c r="J45" s="20">
        <v>15</v>
      </c>
      <c r="K45" s="21">
        <v>68632000</v>
      </c>
      <c r="L45" s="21">
        <v>10295000</v>
      </c>
      <c r="M45" s="10" t="s">
        <v>275</v>
      </c>
      <c r="N45" s="10" t="s">
        <v>204</v>
      </c>
      <c r="O45" s="10" t="s">
        <v>195</v>
      </c>
      <c r="P45" s="10" t="s">
        <v>297</v>
      </c>
      <c r="Q45" s="10" t="s">
        <v>298</v>
      </c>
      <c r="R45" s="10">
        <v>50</v>
      </c>
      <c r="S45" s="10" t="s">
        <v>299</v>
      </c>
      <c r="T45" s="21">
        <v>5088400</v>
      </c>
      <c r="U45" s="10" t="s">
        <v>187</v>
      </c>
      <c r="V45" s="10"/>
    </row>
    <row r="46" spans="2:22" hidden="1" x14ac:dyDescent="0.2">
      <c r="B46" s="7" t="s">
        <v>395</v>
      </c>
      <c r="C46" s="7" t="s">
        <v>261</v>
      </c>
      <c r="D46" s="7" t="s">
        <v>171</v>
      </c>
      <c r="E46" s="7" t="s">
        <v>396</v>
      </c>
      <c r="F46" s="7" t="s">
        <v>141</v>
      </c>
      <c r="G46" s="7" t="s">
        <v>242</v>
      </c>
      <c r="H46" s="7" t="s">
        <v>164</v>
      </c>
      <c r="I46" s="7" t="s">
        <v>193</v>
      </c>
      <c r="J46" s="17">
        <v>10</v>
      </c>
      <c r="K46" s="18">
        <v>47821000</v>
      </c>
      <c r="L46" s="18">
        <v>4782000</v>
      </c>
      <c r="M46" s="7" t="s">
        <v>174</v>
      </c>
      <c r="N46" s="7" t="s">
        <v>204</v>
      </c>
      <c r="O46" s="7" t="s">
        <v>183</v>
      </c>
      <c r="P46" s="7" t="s">
        <v>397</v>
      </c>
      <c r="Q46" s="7" t="s">
        <v>398</v>
      </c>
      <c r="R46" s="7">
        <v>76</v>
      </c>
      <c r="S46" s="7" t="s">
        <v>399</v>
      </c>
      <c r="T46" s="18">
        <v>1546300</v>
      </c>
      <c r="U46" s="7" t="s">
        <v>187</v>
      </c>
      <c r="V46" s="7"/>
    </row>
    <row r="47" spans="2:22" hidden="1" x14ac:dyDescent="0.2">
      <c r="B47" s="10" t="s">
        <v>400</v>
      </c>
      <c r="C47" s="10" t="s">
        <v>328</v>
      </c>
      <c r="D47" s="10" t="s">
        <v>190</v>
      </c>
      <c r="E47" s="10" t="s">
        <v>211</v>
      </c>
      <c r="F47" s="10" t="s">
        <v>268</v>
      </c>
      <c r="G47" s="10" t="s">
        <v>242</v>
      </c>
      <c r="H47" s="10" t="s">
        <v>153</v>
      </c>
      <c r="I47" s="10" t="s">
        <v>202</v>
      </c>
      <c r="J47" s="20">
        <v>5</v>
      </c>
      <c r="K47" s="21">
        <v>37514000</v>
      </c>
      <c r="L47" s="21">
        <v>1876000</v>
      </c>
      <c r="M47" s="10" t="s">
        <v>143</v>
      </c>
      <c r="N47" s="10" t="s">
        <v>309</v>
      </c>
      <c r="O47" s="10" t="s">
        <v>183</v>
      </c>
      <c r="P47" s="10" t="s">
        <v>401</v>
      </c>
      <c r="Q47" s="10" t="s">
        <v>287</v>
      </c>
      <c r="R47" s="10">
        <v>14</v>
      </c>
      <c r="S47" s="10" t="s">
        <v>402</v>
      </c>
      <c r="T47" s="21">
        <v>1733400</v>
      </c>
      <c r="U47" s="10" t="s">
        <v>187</v>
      </c>
      <c r="V47" s="10"/>
    </row>
    <row r="48" spans="2:22" hidden="1" x14ac:dyDescent="0.2">
      <c r="B48" s="7" t="s">
        <v>403</v>
      </c>
      <c r="C48" s="7" t="s">
        <v>316</v>
      </c>
      <c r="D48" s="7" t="s">
        <v>248</v>
      </c>
      <c r="E48" s="7" t="s">
        <v>404</v>
      </c>
      <c r="F48" s="7" t="s">
        <v>141</v>
      </c>
      <c r="G48" s="7" t="s">
        <v>340</v>
      </c>
      <c r="H48" s="7" t="s">
        <v>280</v>
      </c>
      <c r="I48" s="7" t="s">
        <v>129</v>
      </c>
      <c r="J48" s="17">
        <v>35</v>
      </c>
      <c r="K48" s="18">
        <v>44816000</v>
      </c>
      <c r="L48" s="18">
        <v>15686000</v>
      </c>
      <c r="M48" s="7" t="s">
        <v>234</v>
      </c>
      <c r="N48" s="7" t="s">
        <v>131</v>
      </c>
      <c r="O48" s="7" t="s">
        <v>195</v>
      </c>
      <c r="P48" s="7" t="s">
        <v>405</v>
      </c>
      <c r="Q48" s="7" t="s">
        <v>406</v>
      </c>
      <c r="R48" s="7">
        <v>18</v>
      </c>
      <c r="S48" s="7" t="s">
        <v>207</v>
      </c>
      <c r="T48" s="18">
        <v>3398600</v>
      </c>
      <c r="U48" s="7" t="s">
        <v>187</v>
      </c>
      <c r="V48" s="7"/>
    </row>
    <row r="49" spans="2:22" hidden="1" x14ac:dyDescent="0.2">
      <c r="B49" s="10" t="s">
        <v>407</v>
      </c>
      <c r="C49" s="10" t="s">
        <v>328</v>
      </c>
      <c r="D49" s="10" t="s">
        <v>190</v>
      </c>
      <c r="E49" s="10" t="s">
        <v>408</v>
      </c>
      <c r="F49" s="10" t="s">
        <v>126</v>
      </c>
      <c r="G49" s="10" t="s">
        <v>263</v>
      </c>
      <c r="H49" s="10" t="s">
        <v>181</v>
      </c>
      <c r="I49" s="10" t="s">
        <v>154</v>
      </c>
      <c r="J49" s="20">
        <v>100</v>
      </c>
      <c r="K49" s="21">
        <v>80444000</v>
      </c>
      <c r="L49" s="21">
        <v>80444000</v>
      </c>
      <c r="M49" s="10" t="s">
        <v>130</v>
      </c>
      <c r="N49" s="10" t="s">
        <v>155</v>
      </c>
      <c r="O49" s="10" t="s">
        <v>183</v>
      </c>
      <c r="P49" s="10" t="s">
        <v>409</v>
      </c>
      <c r="Q49" s="10" t="s">
        <v>410</v>
      </c>
      <c r="R49" s="10">
        <v>80</v>
      </c>
      <c r="S49" s="10" t="s">
        <v>411</v>
      </c>
      <c r="T49" s="21">
        <v>4600300</v>
      </c>
      <c r="U49" s="10" t="s">
        <v>187</v>
      </c>
      <c r="V49" s="10"/>
    </row>
    <row r="50" spans="2:22" x14ac:dyDescent="0.2">
      <c r="B50" s="7" t="s">
        <v>412</v>
      </c>
      <c r="C50" s="7" t="s">
        <v>328</v>
      </c>
      <c r="D50" s="7" t="s">
        <v>378</v>
      </c>
      <c r="E50" s="7" t="s">
        <v>413</v>
      </c>
      <c r="F50" s="7" t="s">
        <v>141</v>
      </c>
      <c r="G50" s="7" t="s">
        <v>256</v>
      </c>
      <c r="H50" s="7" t="s">
        <v>181</v>
      </c>
      <c r="I50" s="7" t="s">
        <v>243</v>
      </c>
      <c r="J50" s="17">
        <v>60</v>
      </c>
      <c r="K50" s="18">
        <v>78781000</v>
      </c>
      <c r="L50" s="18">
        <v>47269000</v>
      </c>
      <c r="M50" s="7" t="s">
        <v>143</v>
      </c>
      <c r="N50" s="7" t="s">
        <v>221</v>
      </c>
      <c r="O50" s="7" t="s">
        <v>195</v>
      </c>
      <c r="P50" s="7" t="s">
        <v>257</v>
      </c>
      <c r="Q50" s="7" t="s">
        <v>251</v>
      </c>
      <c r="R50" s="7">
        <v>137</v>
      </c>
      <c r="S50" s="7" t="s">
        <v>414</v>
      </c>
      <c r="T50" s="18">
        <v>3923200</v>
      </c>
      <c r="U50" s="19" t="s">
        <v>136</v>
      </c>
      <c r="V50" s="7"/>
    </row>
    <row r="51" spans="2:22" hidden="1" x14ac:dyDescent="0.2">
      <c r="B51" s="10" t="s">
        <v>415</v>
      </c>
      <c r="C51" s="10" t="s">
        <v>170</v>
      </c>
      <c r="D51" s="10" t="s">
        <v>179</v>
      </c>
      <c r="E51" s="10" t="s">
        <v>416</v>
      </c>
      <c r="F51" s="10" t="s">
        <v>126</v>
      </c>
      <c r="G51" s="10" t="s">
        <v>127</v>
      </c>
      <c r="H51" s="10" t="s">
        <v>192</v>
      </c>
      <c r="I51" s="10" t="s">
        <v>154</v>
      </c>
      <c r="J51" s="20">
        <v>100</v>
      </c>
      <c r="K51" s="21">
        <v>76226000</v>
      </c>
      <c r="L51" s="21">
        <v>76226000</v>
      </c>
      <c r="M51" s="10" t="s">
        <v>174</v>
      </c>
      <c r="N51" s="10" t="s">
        <v>131</v>
      </c>
      <c r="O51" s="10" t="s">
        <v>195</v>
      </c>
      <c r="P51" s="10" t="s">
        <v>252</v>
      </c>
      <c r="Q51" s="10" t="s">
        <v>417</v>
      </c>
      <c r="R51" s="10">
        <v>56</v>
      </c>
      <c r="S51" s="10" t="s">
        <v>418</v>
      </c>
      <c r="T51" s="21">
        <v>4014100</v>
      </c>
      <c r="U51" s="10" t="s">
        <v>187</v>
      </c>
      <c r="V51" s="10"/>
    </row>
    <row r="52" spans="2:22" x14ac:dyDescent="0.2">
      <c r="B52" s="7" t="s">
        <v>419</v>
      </c>
      <c r="C52" s="7" t="s">
        <v>374</v>
      </c>
      <c r="D52" s="7" t="s">
        <v>190</v>
      </c>
      <c r="E52" s="7" t="s">
        <v>420</v>
      </c>
      <c r="F52" s="7" t="s">
        <v>233</v>
      </c>
      <c r="G52" s="7" t="s">
        <v>256</v>
      </c>
      <c r="H52" s="7" t="s">
        <v>142</v>
      </c>
      <c r="I52" s="7" t="s">
        <v>182</v>
      </c>
      <c r="J52" s="17">
        <v>15</v>
      </c>
      <c r="K52" s="18">
        <v>30412000</v>
      </c>
      <c r="L52" s="18">
        <v>4562000</v>
      </c>
      <c r="M52" s="7" t="s">
        <v>165</v>
      </c>
      <c r="N52" s="7" t="s">
        <v>221</v>
      </c>
      <c r="O52" s="7" t="s">
        <v>144</v>
      </c>
      <c r="P52" s="7" t="s">
        <v>421</v>
      </c>
      <c r="Q52" s="7" t="s">
        <v>422</v>
      </c>
      <c r="R52" s="7">
        <v>99</v>
      </c>
      <c r="S52" s="7" t="s">
        <v>423</v>
      </c>
      <c r="T52" s="18">
        <v>650200</v>
      </c>
      <c r="U52" s="19" t="s">
        <v>136</v>
      </c>
      <c r="V52" s="7"/>
    </row>
    <row r="53" spans="2:22" x14ac:dyDescent="0.2">
      <c r="B53" s="10" t="s">
        <v>424</v>
      </c>
      <c r="C53" s="10" t="s">
        <v>170</v>
      </c>
      <c r="D53" s="10" t="s">
        <v>171</v>
      </c>
      <c r="E53" s="10" t="s">
        <v>267</v>
      </c>
      <c r="F53" s="10" t="s">
        <v>141</v>
      </c>
      <c r="G53" s="10" t="s">
        <v>242</v>
      </c>
      <c r="H53" s="10" t="s">
        <v>128</v>
      </c>
      <c r="I53" s="10" t="s">
        <v>129</v>
      </c>
      <c r="J53" s="20">
        <v>35</v>
      </c>
      <c r="K53" s="21">
        <v>57555000</v>
      </c>
      <c r="L53" s="21">
        <v>20144000</v>
      </c>
      <c r="M53" s="10" t="s">
        <v>275</v>
      </c>
      <c r="N53" s="10" t="s">
        <v>309</v>
      </c>
      <c r="O53" s="10" t="s">
        <v>144</v>
      </c>
      <c r="P53" s="10" t="s">
        <v>425</v>
      </c>
      <c r="Q53" s="10" t="s">
        <v>426</v>
      </c>
      <c r="R53" s="10">
        <v>257</v>
      </c>
      <c r="S53" s="10" t="s">
        <v>427</v>
      </c>
      <c r="T53" s="21">
        <v>4583600</v>
      </c>
      <c r="U53" s="22" t="s">
        <v>136</v>
      </c>
      <c r="V53" s="10"/>
    </row>
    <row r="54" spans="2:22" x14ac:dyDescent="0.2">
      <c r="B54" s="7" t="s">
        <v>428</v>
      </c>
      <c r="C54" s="7" t="s">
        <v>295</v>
      </c>
      <c r="D54" s="7" t="s">
        <v>323</v>
      </c>
      <c r="E54" s="7" t="s">
        <v>429</v>
      </c>
      <c r="F54" s="7" t="s">
        <v>268</v>
      </c>
      <c r="G54" s="7" t="s">
        <v>340</v>
      </c>
      <c r="H54" s="7" t="s">
        <v>164</v>
      </c>
      <c r="I54" s="7" t="s">
        <v>129</v>
      </c>
      <c r="J54" s="17">
        <v>35</v>
      </c>
      <c r="K54" s="18">
        <v>24389000</v>
      </c>
      <c r="L54" s="18">
        <v>8536000</v>
      </c>
      <c r="M54" s="7" t="s">
        <v>143</v>
      </c>
      <c r="N54" s="7" t="s">
        <v>194</v>
      </c>
      <c r="O54" s="7" t="s">
        <v>144</v>
      </c>
      <c r="P54" s="7" t="s">
        <v>430</v>
      </c>
      <c r="Q54" s="7" t="s">
        <v>431</v>
      </c>
      <c r="R54" s="7">
        <v>149</v>
      </c>
      <c r="S54" s="7" t="s">
        <v>325</v>
      </c>
      <c r="T54" s="18">
        <v>1440100</v>
      </c>
      <c r="U54" s="19" t="s">
        <v>136</v>
      </c>
      <c r="V54" s="7"/>
    </row>
    <row r="55" spans="2:22" x14ac:dyDescent="0.2">
      <c r="B55" s="10" t="s">
        <v>432</v>
      </c>
      <c r="C55" s="10" t="s">
        <v>189</v>
      </c>
      <c r="D55" s="10" t="s">
        <v>248</v>
      </c>
      <c r="E55" s="10" t="s">
        <v>433</v>
      </c>
      <c r="F55" s="10" t="s">
        <v>126</v>
      </c>
      <c r="G55" s="10" t="s">
        <v>212</v>
      </c>
      <c r="H55" s="10" t="s">
        <v>164</v>
      </c>
      <c r="I55" s="10" t="s">
        <v>182</v>
      </c>
      <c r="J55" s="20">
        <v>15</v>
      </c>
      <c r="K55" s="21">
        <v>34840000</v>
      </c>
      <c r="L55" s="21">
        <v>5226000</v>
      </c>
      <c r="M55" s="10" t="s">
        <v>174</v>
      </c>
      <c r="N55" s="10" t="s">
        <v>194</v>
      </c>
      <c r="O55" s="10" t="s">
        <v>195</v>
      </c>
      <c r="P55" s="10" t="s">
        <v>434</v>
      </c>
      <c r="Q55" s="10" t="s">
        <v>246</v>
      </c>
      <c r="R55" s="10">
        <v>120</v>
      </c>
      <c r="S55" s="10" t="s">
        <v>409</v>
      </c>
      <c r="T55" s="21">
        <v>757100</v>
      </c>
      <c r="U55" s="22" t="s">
        <v>136</v>
      </c>
      <c r="V55" s="10"/>
    </row>
    <row r="56" spans="2:22" x14ac:dyDescent="0.2">
      <c r="B56" s="7" t="s">
        <v>435</v>
      </c>
      <c r="C56" s="7" t="s">
        <v>374</v>
      </c>
      <c r="D56" s="7" t="s">
        <v>227</v>
      </c>
      <c r="E56" s="7" t="s">
        <v>408</v>
      </c>
      <c r="F56" s="7" t="s">
        <v>163</v>
      </c>
      <c r="G56" s="7" t="s">
        <v>152</v>
      </c>
      <c r="H56" s="7" t="s">
        <v>213</v>
      </c>
      <c r="I56" s="7" t="s">
        <v>154</v>
      </c>
      <c r="J56" s="17">
        <v>100</v>
      </c>
      <c r="K56" s="18">
        <v>6891000</v>
      </c>
      <c r="L56" s="18">
        <v>6891000</v>
      </c>
      <c r="M56" s="7" t="s">
        <v>174</v>
      </c>
      <c r="N56" s="7" t="s">
        <v>221</v>
      </c>
      <c r="O56" s="7" t="s">
        <v>132</v>
      </c>
      <c r="P56" s="7" t="s">
        <v>436</v>
      </c>
      <c r="Q56" s="7" t="s">
        <v>437</v>
      </c>
      <c r="R56" s="7">
        <v>143</v>
      </c>
      <c r="S56" s="7" t="s">
        <v>414</v>
      </c>
      <c r="T56" s="18">
        <v>245200</v>
      </c>
      <c r="U56" s="19" t="s">
        <v>136</v>
      </c>
      <c r="V56" s="7"/>
    </row>
    <row r="57" spans="2:22" x14ac:dyDescent="0.2">
      <c r="B57" s="10" t="s">
        <v>438</v>
      </c>
      <c r="C57" s="10" t="s">
        <v>189</v>
      </c>
      <c r="D57" s="10" t="s">
        <v>124</v>
      </c>
      <c r="E57" s="10" t="s">
        <v>439</v>
      </c>
      <c r="F57" s="10" t="s">
        <v>141</v>
      </c>
      <c r="G57" s="10" t="s">
        <v>152</v>
      </c>
      <c r="H57" s="10" t="s">
        <v>280</v>
      </c>
      <c r="I57" s="10" t="s">
        <v>243</v>
      </c>
      <c r="J57" s="20">
        <v>60</v>
      </c>
      <c r="K57" s="21">
        <v>2096000</v>
      </c>
      <c r="L57" s="21">
        <v>1258000</v>
      </c>
      <c r="M57" s="10" t="s">
        <v>174</v>
      </c>
      <c r="N57" s="10" t="s">
        <v>131</v>
      </c>
      <c r="O57" s="10" t="s">
        <v>132</v>
      </c>
      <c r="P57" s="10" t="s">
        <v>440</v>
      </c>
      <c r="Q57" s="10" t="s">
        <v>399</v>
      </c>
      <c r="R57" s="10">
        <v>148</v>
      </c>
      <c r="S57" s="10" t="s">
        <v>441</v>
      </c>
      <c r="T57" s="21">
        <v>124400</v>
      </c>
      <c r="U57" s="22" t="s">
        <v>136</v>
      </c>
      <c r="V57" s="10"/>
    </row>
    <row r="58" spans="2:22" x14ac:dyDescent="0.2">
      <c r="B58" s="7" t="s">
        <v>442</v>
      </c>
      <c r="C58" s="7" t="s">
        <v>138</v>
      </c>
      <c r="D58" s="7" t="s">
        <v>171</v>
      </c>
      <c r="E58" s="7" t="s">
        <v>443</v>
      </c>
      <c r="F58" s="7" t="s">
        <v>163</v>
      </c>
      <c r="G58" s="7" t="s">
        <v>127</v>
      </c>
      <c r="H58" s="7" t="s">
        <v>164</v>
      </c>
      <c r="I58" s="7" t="s">
        <v>182</v>
      </c>
      <c r="J58" s="17">
        <v>15</v>
      </c>
      <c r="K58" s="18">
        <v>64266000</v>
      </c>
      <c r="L58" s="18">
        <v>9640000</v>
      </c>
      <c r="M58" s="7" t="s">
        <v>203</v>
      </c>
      <c r="N58" s="7" t="s">
        <v>155</v>
      </c>
      <c r="O58" s="7" t="s">
        <v>132</v>
      </c>
      <c r="P58" s="7" t="s">
        <v>156</v>
      </c>
      <c r="Q58" s="7" t="s">
        <v>348</v>
      </c>
      <c r="R58" s="7">
        <v>139</v>
      </c>
      <c r="S58" s="7" t="s">
        <v>444</v>
      </c>
      <c r="T58" s="18">
        <v>2036000</v>
      </c>
      <c r="U58" s="19" t="s">
        <v>136</v>
      </c>
      <c r="V58" s="7"/>
    </row>
    <row r="59" spans="2:22" hidden="1" x14ac:dyDescent="0.2">
      <c r="B59" s="10" t="s">
        <v>445</v>
      </c>
      <c r="C59" s="10" t="s">
        <v>295</v>
      </c>
      <c r="D59" s="10" t="s">
        <v>139</v>
      </c>
      <c r="E59" s="10" t="s">
        <v>324</v>
      </c>
      <c r="F59" s="10" t="s">
        <v>126</v>
      </c>
      <c r="G59" s="10" t="s">
        <v>212</v>
      </c>
      <c r="H59" s="10" t="s">
        <v>181</v>
      </c>
      <c r="I59" s="10" t="s">
        <v>243</v>
      </c>
      <c r="J59" s="20">
        <v>60</v>
      </c>
      <c r="K59" s="21">
        <v>2905000</v>
      </c>
      <c r="L59" s="21">
        <v>1743000</v>
      </c>
      <c r="M59" s="10" t="s">
        <v>234</v>
      </c>
      <c r="N59" s="10" t="s">
        <v>204</v>
      </c>
      <c r="O59" s="10" t="s">
        <v>132</v>
      </c>
      <c r="P59" s="10" t="s">
        <v>446</v>
      </c>
      <c r="Q59" s="10" t="s">
        <v>288</v>
      </c>
      <c r="R59" s="10">
        <v>37</v>
      </c>
      <c r="S59" s="10" t="s">
        <v>447</v>
      </c>
      <c r="T59" s="21">
        <v>193300</v>
      </c>
      <c r="U59" s="10" t="s">
        <v>187</v>
      </c>
      <c r="V59" s="10"/>
    </row>
    <row r="60" spans="2:22" hidden="1" x14ac:dyDescent="0.2">
      <c r="B60" s="7" t="s">
        <v>448</v>
      </c>
      <c r="C60" s="7" t="s">
        <v>328</v>
      </c>
      <c r="D60" s="7" t="s">
        <v>323</v>
      </c>
      <c r="E60" s="7" t="s">
        <v>449</v>
      </c>
      <c r="F60" s="7" t="s">
        <v>141</v>
      </c>
      <c r="G60" s="7" t="s">
        <v>152</v>
      </c>
      <c r="H60" s="7" t="s">
        <v>164</v>
      </c>
      <c r="I60" s="7" t="s">
        <v>202</v>
      </c>
      <c r="J60" s="17">
        <v>5</v>
      </c>
      <c r="K60" s="18">
        <v>5552000</v>
      </c>
      <c r="L60" s="18">
        <v>278000</v>
      </c>
      <c r="M60" s="7" t="s">
        <v>130</v>
      </c>
      <c r="N60" s="7" t="s">
        <v>131</v>
      </c>
      <c r="O60" s="7" t="s">
        <v>183</v>
      </c>
      <c r="P60" s="7" t="s">
        <v>431</v>
      </c>
      <c r="Q60" s="7" t="s">
        <v>366</v>
      </c>
      <c r="R60" s="7">
        <v>47</v>
      </c>
      <c r="S60" s="7" t="s">
        <v>276</v>
      </c>
      <c r="T60" s="18">
        <v>142000</v>
      </c>
      <c r="U60" s="7" t="s">
        <v>187</v>
      </c>
      <c r="V60" s="7"/>
    </row>
    <row r="61" spans="2:22" x14ac:dyDescent="0.2">
      <c r="B61" s="10" t="s">
        <v>450</v>
      </c>
      <c r="C61" s="10" t="s">
        <v>261</v>
      </c>
      <c r="D61" s="10" t="s">
        <v>254</v>
      </c>
      <c r="E61" s="10" t="s">
        <v>451</v>
      </c>
      <c r="F61" s="10" t="s">
        <v>163</v>
      </c>
      <c r="G61" s="10" t="s">
        <v>263</v>
      </c>
      <c r="H61" s="10" t="s">
        <v>181</v>
      </c>
      <c r="I61" s="10" t="s">
        <v>202</v>
      </c>
      <c r="J61" s="20">
        <v>5</v>
      </c>
      <c r="K61" s="21">
        <v>18693000</v>
      </c>
      <c r="L61" s="21">
        <v>935000</v>
      </c>
      <c r="M61" s="10" t="s">
        <v>234</v>
      </c>
      <c r="N61" s="10" t="s">
        <v>131</v>
      </c>
      <c r="O61" s="10" t="s">
        <v>195</v>
      </c>
      <c r="P61" s="10" t="s">
        <v>156</v>
      </c>
      <c r="Q61" s="10" t="s">
        <v>401</v>
      </c>
      <c r="R61" s="10">
        <v>139</v>
      </c>
      <c r="S61" s="10" t="s">
        <v>452</v>
      </c>
      <c r="T61" s="21">
        <v>430900</v>
      </c>
      <c r="U61" s="22" t="s">
        <v>136</v>
      </c>
      <c r="V61" s="10"/>
    </row>
    <row r="62" spans="2:22" hidden="1" x14ac:dyDescent="0.2">
      <c r="B62" s="7" t="s">
        <v>453</v>
      </c>
      <c r="C62" s="7" t="s">
        <v>239</v>
      </c>
      <c r="D62" s="7" t="s">
        <v>227</v>
      </c>
      <c r="E62" s="7" t="s">
        <v>379</v>
      </c>
      <c r="F62" s="7" t="s">
        <v>141</v>
      </c>
      <c r="G62" s="7" t="s">
        <v>152</v>
      </c>
      <c r="H62" s="7" t="s">
        <v>192</v>
      </c>
      <c r="I62" s="7" t="s">
        <v>154</v>
      </c>
      <c r="J62" s="17">
        <v>100</v>
      </c>
      <c r="K62" s="18">
        <v>75827000</v>
      </c>
      <c r="L62" s="18">
        <v>75827000</v>
      </c>
      <c r="M62" s="7" t="s">
        <v>215</v>
      </c>
      <c r="N62" s="7" t="s">
        <v>221</v>
      </c>
      <c r="O62" s="7" t="s">
        <v>195</v>
      </c>
      <c r="P62" s="7" t="s">
        <v>251</v>
      </c>
      <c r="Q62" s="7" t="s">
        <v>454</v>
      </c>
      <c r="R62" s="7">
        <v>16</v>
      </c>
      <c r="S62" s="7" t="s">
        <v>437</v>
      </c>
      <c r="T62" s="18">
        <v>2661200</v>
      </c>
      <c r="U62" s="7" t="s">
        <v>187</v>
      </c>
      <c r="V62" s="7"/>
    </row>
    <row r="63" spans="2:22" x14ac:dyDescent="0.2">
      <c r="B63" s="10" t="s">
        <v>455</v>
      </c>
      <c r="C63" s="10" t="s">
        <v>374</v>
      </c>
      <c r="D63" s="10" t="s">
        <v>227</v>
      </c>
      <c r="E63" s="10" t="s">
        <v>456</v>
      </c>
      <c r="F63" s="10" t="s">
        <v>268</v>
      </c>
      <c r="G63" s="10" t="s">
        <v>127</v>
      </c>
      <c r="H63" s="10" t="s">
        <v>213</v>
      </c>
      <c r="I63" s="10" t="s">
        <v>129</v>
      </c>
      <c r="J63" s="20">
        <v>35</v>
      </c>
      <c r="K63" s="21">
        <v>31272000</v>
      </c>
      <c r="L63" s="21">
        <v>10945000</v>
      </c>
      <c r="M63" s="10" t="s">
        <v>203</v>
      </c>
      <c r="N63" s="10" t="s">
        <v>194</v>
      </c>
      <c r="O63" s="10" t="s">
        <v>195</v>
      </c>
      <c r="P63" s="10" t="s">
        <v>457</v>
      </c>
      <c r="Q63" s="10" t="s">
        <v>405</v>
      </c>
      <c r="R63" s="10">
        <v>129</v>
      </c>
      <c r="S63" s="10" t="s">
        <v>458</v>
      </c>
      <c r="T63" s="21">
        <v>2490700</v>
      </c>
      <c r="U63" s="22" t="s">
        <v>136</v>
      </c>
      <c r="V63" s="10"/>
    </row>
    <row r="64" spans="2:22" hidden="1" x14ac:dyDescent="0.2">
      <c r="B64" s="7" t="s">
        <v>459</v>
      </c>
      <c r="C64" s="7" t="s">
        <v>149</v>
      </c>
      <c r="D64" s="7" t="s">
        <v>273</v>
      </c>
      <c r="E64" s="7" t="s">
        <v>364</v>
      </c>
      <c r="F64" s="7" t="s">
        <v>141</v>
      </c>
      <c r="G64" s="7" t="s">
        <v>212</v>
      </c>
      <c r="H64" s="7" t="s">
        <v>153</v>
      </c>
      <c r="I64" s="7" t="s">
        <v>154</v>
      </c>
      <c r="J64" s="17">
        <v>100</v>
      </c>
      <c r="K64" s="18">
        <v>753000</v>
      </c>
      <c r="L64" s="18">
        <v>753000</v>
      </c>
      <c r="M64" s="7" t="s">
        <v>215</v>
      </c>
      <c r="N64" s="7" t="s">
        <v>131</v>
      </c>
      <c r="O64" s="7" t="s">
        <v>183</v>
      </c>
      <c r="P64" s="7" t="s">
        <v>460</v>
      </c>
      <c r="Q64" s="7" t="s">
        <v>265</v>
      </c>
      <c r="R64" s="7">
        <v>67</v>
      </c>
      <c r="S64" s="7" t="s">
        <v>264</v>
      </c>
      <c r="T64" s="18">
        <v>28200</v>
      </c>
      <c r="U64" s="7" t="s">
        <v>187</v>
      </c>
      <c r="V64" s="7"/>
    </row>
    <row r="65" spans="2:22" x14ac:dyDescent="0.2">
      <c r="B65" s="10" t="s">
        <v>461</v>
      </c>
      <c r="C65" s="10" t="s">
        <v>345</v>
      </c>
      <c r="D65" s="10" t="s">
        <v>171</v>
      </c>
      <c r="E65" s="10" t="s">
        <v>462</v>
      </c>
      <c r="F65" s="10" t="s">
        <v>268</v>
      </c>
      <c r="G65" s="10" t="s">
        <v>242</v>
      </c>
      <c r="H65" s="10" t="s">
        <v>153</v>
      </c>
      <c r="I65" s="10" t="s">
        <v>182</v>
      </c>
      <c r="J65" s="20">
        <v>15</v>
      </c>
      <c r="K65" s="21">
        <v>726000</v>
      </c>
      <c r="L65" s="21">
        <v>109000</v>
      </c>
      <c r="M65" s="10" t="s">
        <v>203</v>
      </c>
      <c r="N65" s="10" t="s">
        <v>131</v>
      </c>
      <c r="O65" s="10" t="s">
        <v>195</v>
      </c>
      <c r="P65" s="10" t="s">
        <v>224</v>
      </c>
      <c r="Q65" s="10" t="s">
        <v>463</v>
      </c>
      <c r="R65" s="10">
        <v>214</v>
      </c>
      <c r="S65" s="10" t="s">
        <v>320</v>
      </c>
      <c r="T65" s="21">
        <v>30600</v>
      </c>
      <c r="U65" s="22" t="s">
        <v>136</v>
      </c>
      <c r="V65" s="10"/>
    </row>
    <row r="66" spans="2:22" x14ac:dyDescent="0.2">
      <c r="B66" s="7" t="s">
        <v>464</v>
      </c>
      <c r="C66" s="7" t="s">
        <v>160</v>
      </c>
      <c r="D66" s="7" t="s">
        <v>323</v>
      </c>
      <c r="E66" s="7" t="s">
        <v>379</v>
      </c>
      <c r="F66" s="7" t="s">
        <v>126</v>
      </c>
      <c r="G66" s="7" t="s">
        <v>242</v>
      </c>
      <c r="H66" s="7" t="s">
        <v>153</v>
      </c>
      <c r="I66" s="7" t="s">
        <v>129</v>
      </c>
      <c r="J66" s="17">
        <v>35</v>
      </c>
      <c r="K66" s="18">
        <v>51323000</v>
      </c>
      <c r="L66" s="18">
        <v>17963000</v>
      </c>
      <c r="M66" s="7" t="s">
        <v>275</v>
      </c>
      <c r="N66" s="7" t="s">
        <v>221</v>
      </c>
      <c r="O66" s="7" t="s">
        <v>183</v>
      </c>
      <c r="P66" s="7" t="s">
        <v>465</v>
      </c>
      <c r="Q66" s="7" t="s">
        <v>466</v>
      </c>
      <c r="R66" s="7">
        <v>217</v>
      </c>
      <c r="S66" s="7" t="s">
        <v>467</v>
      </c>
      <c r="T66" s="18">
        <v>1485800</v>
      </c>
      <c r="U66" s="19" t="s">
        <v>136</v>
      </c>
      <c r="V66" s="7"/>
    </row>
    <row r="67" spans="2:22" hidden="1" x14ac:dyDescent="0.2">
      <c r="B67" s="10" t="s">
        <v>468</v>
      </c>
      <c r="C67" s="10" t="s">
        <v>272</v>
      </c>
      <c r="D67" s="10" t="s">
        <v>378</v>
      </c>
      <c r="E67" s="10" t="s">
        <v>469</v>
      </c>
      <c r="F67" s="10" t="s">
        <v>268</v>
      </c>
      <c r="G67" s="10" t="s">
        <v>242</v>
      </c>
      <c r="H67" s="10" t="s">
        <v>181</v>
      </c>
      <c r="I67" s="10" t="s">
        <v>129</v>
      </c>
      <c r="J67" s="20">
        <v>35</v>
      </c>
      <c r="K67" s="21">
        <v>56811000</v>
      </c>
      <c r="L67" s="21">
        <v>19884000</v>
      </c>
      <c r="M67" s="10" t="s">
        <v>130</v>
      </c>
      <c r="N67" s="10" t="s">
        <v>131</v>
      </c>
      <c r="O67" s="10" t="s">
        <v>132</v>
      </c>
      <c r="P67" s="10" t="s">
        <v>276</v>
      </c>
      <c r="Q67" s="10" t="s">
        <v>358</v>
      </c>
      <c r="R67" s="10">
        <v>39</v>
      </c>
      <c r="S67" s="10" t="s">
        <v>366</v>
      </c>
      <c r="T67" s="21">
        <v>3525400</v>
      </c>
      <c r="U67" s="10" t="s">
        <v>187</v>
      </c>
      <c r="V67" s="10"/>
    </row>
    <row r="68" spans="2:22" hidden="1" x14ac:dyDescent="0.2">
      <c r="B68" s="7" t="s">
        <v>470</v>
      </c>
      <c r="C68" s="7" t="s">
        <v>170</v>
      </c>
      <c r="D68" s="7" t="s">
        <v>323</v>
      </c>
      <c r="E68" s="7" t="s">
        <v>471</v>
      </c>
      <c r="F68" s="7" t="s">
        <v>141</v>
      </c>
      <c r="G68" s="7" t="s">
        <v>263</v>
      </c>
      <c r="H68" s="7" t="s">
        <v>164</v>
      </c>
      <c r="I68" s="7" t="s">
        <v>154</v>
      </c>
      <c r="J68" s="17">
        <v>100</v>
      </c>
      <c r="K68" s="18">
        <v>46313000</v>
      </c>
      <c r="L68" s="18">
        <v>46313000</v>
      </c>
      <c r="M68" s="7" t="s">
        <v>234</v>
      </c>
      <c r="N68" s="7" t="s">
        <v>204</v>
      </c>
      <c r="O68" s="7" t="s">
        <v>195</v>
      </c>
      <c r="P68" s="7" t="s">
        <v>472</v>
      </c>
      <c r="Q68" s="7" t="s">
        <v>473</v>
      </c>
      <c r="R68" s="7">
        <v>48</v>
      </c>
      <c r="S68" s="7" t="s">
        <v>372</v>
      </c>
      <c r="T68" s="18">
        <v>2847000</v>
      </c>
      <c r="U68" s="7" t="s">
        <v>187</v>
      </c>
      <c r="V68" s="7"/>
    </row>
    <row r="69" spans="2:22" hidden="1" x14ac:dyDescent="0.2">
      <c r="B69" s="10" t="s">
        <v>474</v>
      </c>
      <c r="C69" s="10" t="s">
        <v>209</v>
      </c>
      <c r="D69" s="10" t="s">
        <v>190</v>
      </c>
      <c r="E69" s="10" t="s">
        <v>475</v>
      </c>
      <c r="F69" s="10" t="s">
        <v>163</v>
      </c>
      <c r="G69" s="10" t="s">
        <v>127</v>
      </c>
      <c r="H69" s="10" t="s">
        <v>280</v>
      </c>
      <c r="I69" s="10" t="s">
        <v>182</v>
      </c>
      <c r="J69" s="20">
        <v>15</v>
      </c>
      <c r="K69" s="21">
        <v>65130000</v>
      </c>
      <c r="L69" s="21">
        <v>9770000</v>
      </c>
      <c r="M69" s="10" t="s">
        <v>130</v>
      </c>
      <c r="N69" s="10" t="s">
        <v>131</v>
      </c>
      <c r="O69" s="10" t="s">
        <v>195</v>
      </c>
      <c r="P69" s="10" t="s">
        <v>326</v>
      </c>
      <c r="Q69" s="10" t="s">
        <v>476</v>
      </c>
      <c r="R69" s="10">
        <v>71</v>
      </c>
      <c r="S69" s="10" t="s">
        <v>477</v>
      </c>
      <c r="T69" s="21">
        <v>4922500</v>
      </c>
      <c r="U69" s="10" t="s">
        <v>187</v>
      </c>
      <c r="V69" s="10"/>
    </row>
    <row r="70" spans="2:22" hidden="1" x14ac:dyDescent="0.2">
      <c r="B70" s="7" t="s">
        <v>478</v>
      </c>
      <c r="C70" s="7" t="s">
        <v>307</v>
      </c>
      <c r="D70" s="7" t="s">
        <v>378</v>
      </c>
      <c r="E70" s="7" t="s">
        <v>404</v>
      </c>
      <c r="F70" s="7" t="s">
        <v>141</v>
      </c>
      <c r="G70" s="7" t="s">
        <v>212</v>
      </c>
      <c r="H70" s="7" t="s">
        <v>128</v>
      </c>
      <c r="I70" s="7" t="s">
        <v>182</v>
      </c>
      <c r="J70" s="17">
        <v>15</v>
      </c>
      <c r="K70" s="18">
        <v>50573000</v>
      </c>
      <c r="L70" s="18">
        <v>7586000</v>
      </c>
      <c r="M70" s="7" t="s">
        <v>130</v>
      </c>
      <c r="N70" s="7" t="s">
        <v>204</v>
      </c>
      <c r="O70" s="7" t="s">
        <v>144</v>
      </c>
      <c r="P70" s="7" t="s">
        <v>401</v>
      </c>
      <c r="Q70" s="7" t="s">
        <v>479</v>
      </c>
      <c r="R70" s="7">
        <v>14</v>
      </c>
      <c r="S70" s="7" t="s">
        <v>244</v>
      </c>
      <c r="T70" s="18">
        <v>1953500</v>
      </c>
      <c r="U70" s="7" t="s">
        <v>187</v>
      </c>
      <c r="V70" s="7"/>
    </row>
    <row r="71" spans="2:22" x14ac:dyDescent="0.2">
      <c r="B71" s="10" t="s">
        <v>480</v>
      </c>
      <c r="C71" s="10" t="s">
        <v>307</v>
      </c>
      <c r="D71" s="10" t="s">
        <v>210</v>
      </c>
      <c r="E71" s="10" t="s">
        <v>191</v>
      </c>
      <c r="F71" s="10" t="s">
        <v>141</v>
      </c>
      <c r="G71" s="10" t="s">
        <v>263</v>
      </c>
      <c r="H71" s="10" t="s">
        <v>153</v>
      </c>
      <c r="I71" s="10" t="s">
        <v>129</v>
      </c>
      <c r="J71" s="20">
        <v>35</v>
      </c>
      <c r="K71" s="21">
        <v>17674000</v>
      </c>
      <c r="L71" s="21">
        <v>6186000</v>
      </c>
      <c r="M71" s="10" t="s">
        <v>234</v>
      </c>
      <c r="N71" s="10" t="s">
        <v>131</v>
      </c>
      <c r="O71" s="10" t="s">
        <v>144</v>
      </c>
      <c r="P71" s="10" t="s">
        <v>197</v>
      </c>
      <c r="Q71" s="10" t="s">
        <v>481</v>
      </c>
      <c r="R71" s="10">
        <v>91</v>
      </c>
      <c r="S71" s="10" t="s">
        <v>482</v>
      </c>
      <c r="T71" s="21">
        <v>752900</v>
      </c>
      <c r="U71" s="22" t="s">
        <v>136</v>
      </c>
      <c r="V71" s="10"/>
    </row>
    <row r="72" spans="2:22" x14ac:dyDescent="0.2">
      <c r="B72" s="7" t="s">
        <v>483</v>
      </c>
      <c r="C72" s="7" t="s">
        <v>239</v>
      </c>
      <c r="D72" s="7" t="s">
        <v>139</v>
      </c>
      <c r="E72" s="7" t="s">
        <v>211</v>
      </c>
      <c r="F72" s="7" t="s">
        <v>141</v>
      </c>
      <c r="G72" s="7" t="s">
        <v>263</v>
      </c>
      <c r="H72" s="7" t="s">
        <v>142</v>
      </c>
      <c r="I72" s="7" t="s">
        <v>243</v>
      </c>
      <c r="J72" s="17">
        <v>60</v>
      </c>
      <c r="K72" s="18">
        <v>63948000</v>
      </c>
      <c r="L72" s="18">
        <v>38369000</v>
      </c>
      <c r="M72" s="7" t="s">
        <v>165</v>
      </c>
      <c r="N72" s="7" t="s">
        <v>204</v>
      </c>
      <c r="O72" s="7" t="s">
        <v>195</v>
      </c>
      <c r="P72" s="7" t="s">
        <v>484</v>
      </c>
      <c r="Q72" s="7" t="s">
        <v>485</v>
      </c>
      <c r="R72" s="7">
        <v>226</v>
      </c>
      <c r="S72" s="7" t="s">
        <v>177</v>
      </c>
      <c r="T72" s="18">
        <v>1965000</v>
      </c>
      <c r="U72" s="19" t="s">
        <v>136</v>
      </c>
      <c r="V72" s="7"/>
    </row>
    <row r="73" spans="2:22" hidden="1" x14ac:dyDescent="0.2">
      <c r="B73" s="10" t="s">
        <v>486</v>
      </c>
      <c r="C73" s="10" t="s">
        <v>295</v>
      </c>
      <c r="D73" s="10" t="s">
        <v>161</v>
      </c>
      <c r="E73" s="10" t="s">
        <v>487</v>
      </c>
      <c r="F73" s="10" t="s">
        <v>141</v>
      </c>
      <c r="G73" s="10" t="s">
        <v>263</v>
      </c>
      <c r="H73" s="10" t="s">
        <v>142</v>
      </c>
      <c r="I73" s="10" t="s">
        <v>129</v>
      </c>
      <c r="J73" s="20">
        <v>35</v>
      </c>
      <c r="K73" s="21">
        <v>51944000</v>
      </c>
      <c r="L73" s="21">
        <v>18180000</v>
      </c>
      <c r="M73" s="10" t="s">
        <v>275</v>
      </c>
      <c r="N73" s="10" t="s">
        <v>204</v>
      </c>
      <c r="O73" s="10" t="s">
        <v>195</v>
      </c>
      <c r="P73" s="10" t="s">
        <v>463</v>
      </c>
      <c r="Q73" s="10" t="s">
        <v>488</v>
      </c>
      <c r="R73" s="10">
        <v>90</v>
      </c>
      <c r="S73" s="10" t="s">
        <v>270</v>
      </c>
      <c r="T73" s="21">
        <v>2030400</v>
      </c>
      <c r="U73" s="10" t="s">
        <v>187</v>
      </c>
      <c r="V73" s="10"/>
    </row>
    <row r="74" spans="2:22" x14ac:dyDescent="0.2">
      <c r="B74" s="7" t="s">
        <v>489</v>
      </c>
      <c r="C74" s="7" t="s">
        <v>261</v>
      </c>
      <c r="D74" s="7" t="s">
        <v>190</v>
      </c>
      <c r="E74" s="7" t="s">
        <v>490</v>
      </c>
      <c r="F74" s="7" t="s">
        <v>163</v>
      </c>
      <c r="G74" s="7" t="s">
        <v>212</v>
      </c>
      <c r="H74" s="7" t="s">
        <v>153</v>
      </c>
      <c r="I74" s="7" t="s">
        <v>182</v>
      </c>
      <c r="J74" s="17">
        <v>15</v>
      </c>
      <c r="K74" s="18">
        <v>44987000</v>
      </c>
      <c r="L74" s="18">
        <v>6748000</v>
      </c>
      <c r="M74" s="7" t="s">
        <v>234</v>
      </c>
      <c r="N74" s="7" t="s">
        <v>131</v>
      </c>
      <c r="O74" s="7" t="s">
        <v>132</v>
      </c>
      <c r="P74" s="7" t="s">
        <v>491</v>
      </c>
      <c r="Q74" s="7" t="s">
        <v>246</v>
      </c>
      <c r="R74" s="7">
        <v>142</v>
      </c>
      <c r="S74" s="7" t="s">
        <v>492</v>
      </c>
      <c r="T74" s="18">
        <v>3266000</v>
      </c>
      <c r="U74" s="19" t="s">
        <v>136</v>
      </c>
      <c r="V74" s="7"/>
    </row>
    <row r="75" spans="2:22" x14ac:dyDescent="0.2">
      <c r="B75" s="10" t="s">
        <v>493</v>
      </c>
      <c r="C75" s="10" t="s">
        <v>374</v>
      </c>
      <c r="D75" s="10" t="s">
        <v>227</v>
      </c>
      <c r="E75" s="10" t="s">
        <v>494</v>
      </c>
      <c r="F75" s="10" t="s">
        <v>126</v>
      </c>
      <c r="G75" s="10" t="s">
        <v>242</v>
      </c>
      <c r="H75" s="10" t="s">
        <v>280</v>
      </c>
      <c r="I75" s="10" t="s">
        <v>129</v>
      </c>
      <c r="J75" s="20">
        <v>35</v>
      </c>
      <c r="K75" s="21">
        <v>61468000</v>
      </c>
      <c r="L75" s="21">
        <v>21514000</v>
      </c>
      <c r="M75" s="10" t="s">
        <v>215</v>
      </c>
      <c r="N75" s="10" t="s">
        <v>194</v>
      </c>
      <c r="O75" s="10" t="s">
        <v>144</v>
      </c>
      <c r="P75" s="10" t="s">
        <v>495</v>
      </c>
      <c r="Q75" s="10" t="s">
        <v>301</v>
      </c>
      <c r="R75" s="10">
        <v>193</v>
      </c>
      <c r="S75" s="10" t="s">
        <v>496</v>
      </c>
      <c r="T75" s="21">
        <v>2582200</v>
      </c>
      <c r="U75" s="22" t="s">
        <v>136</v>
      </c>
      <c r="V75" s="10"/>
    </row>
    <row r="76" spans="2:22" x14ac:dyDescent="0.2">
      <c r="B76" s="7" t="s">
        <v>497</v>
      </c>
      <c r="C76" s="7" t="s">
        <v>374</v>
      </c>
      <c r="D76" s="7" t="s">
        <v>378</v>
      </c>
      <c r="E76" s="7" t="s">
        <v>498</v>
      </c>
      <c r="F76" s="7" t="s">
        <v>141</v>
      </c>
      <c r="G76" s="7" t="s">
        <v>152</v>
      </c>
      <c r="H76" s="7" t="s">
        <v>181</v>
      </c>
      <c r="I76" s="7" t="s">
        <v>129</v>
      </c>
      <c r="J76" s="17">
        <v>35</v>
      </c>
      <c r="K76" s="18">
        <v>83697000</v>
      </c>
      <c r="L76" s="18">
        <v>29294000</v>
      </c>
      <c r="M76" s="7" t="s">
        <v>143</v>
      </c>
      <c r="N76" s="7" t="s">
        <v>221</v>
      </c>
      <c r="O76" s="7" t="s">
        <v>195</v>
      </c>
      <c r="P76" s="7" t="s">
        <v>499</v>
      </c>
      <c r="Q76" s="7" t="s">
        <v>457</v>
      </c>
      <c r="R76" s="7">
        <v>239</v>
      </c>
      <c r="S76" s="7" t="s">
        <v>392</v>
      </c>
      <c r="T76" s="18">
        <v>4396400</v>
      </c>
      <c r="U76" s="19" t="s">
        <v>136</v>
      </c>
      <c r="V76" s="7"/>
    </row>
    <row r="77" spans="2:22" x14ac:dyDescent="0.2">
      <c r="B77" s="10" t="s">
        <v>500</v>
      </c>
      <c r="C77" s="10" t="s">
        <v>316</v>
      </c>
      <c r="D77" s="10" t="s">
        <v>378</v>
      </c>
      <c r="E77" s="10" t="s">
        <v>201</v>
      </c>
      <c r="F77" s="10" t="s">
        <v>163</v>
      </c>
      <c r="G77" s="10" t="s">
        <v>242</v>
      </c>
      <c r="H77" s="10" t="s">
        <v>181</v>
      </c>
      <c r="I77" s="10" t="s">
        <v>129</v>
      </c>
      <c r="J77" s="20">
        <v>35</v>
      </c>
      <c r="K77" s="21">
        <v>54127000</v>
      </c>
      <c r="L77" s="21">
        <v>18944000</v>
      </c>
      <c r="M77" s="10" t="s">
        <v>130</v>
      </c>
      <c r="N77" s="10" t="s">
        <v>194</v>
      </c>
      <c r="O77" s="10" t="s">
        <v>183</v>
      </c>
      <c r="P77" s="10" t="s">
        <v>342</v>
      </c>
      <c r="Q77" s="10" t="s">
        <v>501</v>
      </c>
      <c r="R77" s="10">
        <v>126</v>
      </c>
      <c r="S77" s="10" t="s">
        <v>176</v>
      </c>
      <c r="T77" s="21">
        <v>2593700</v>
      </c>
      <c r="U77" s="22" t="s">
        <v>136</v>
      </c>
      <c r="V77" s="10"/>
    </row>
    <row r="78" spans="2:22" x14ac:dyDescent="0.2">
      <c r="B78" s="7" t="s">
        <v>502</v>
      </c>
      <c r="C78" s="7" t="s">
        <v>345</v>
      </c>
      <c r="D78" s="7" t="s">
        <v>273</v>
      </c>
      <c r="E78" s="7" t="s">
        <v>503</v>
      </c>
      <c r="F78" s="7" t="s">
        <v>163</v>
      </c>
      <c r="G78" s="7" t="s">
        <v>242</v>
      </c>
      <c r="H78" s="7" t="s">
        <v>153</v>
      </c>
      <c r="I78" s="7" t="s">
        <v>182</v>
      </c>
      <c r="J78" s="17">
        <v>15</v>
      </c>
      <c r="K78" s="18">
        <v>33867000</v>
      </c>
      <c r="L78" s="18">
        <v>5080000</v>
      </c>
      <c r="M78" s="7" t="s">
        <v>165</v>
      </c>
      <c r="N78" s="7" t="s">
        <v>309</v>
      </c>
      <c r="O78" s="7" t="s">
        <v>195</v>
      </c>
      <c r="P78" s="7" t="s">
        <v>440</v>
      </c>
      <c r="Q78" s="7" t="s">
        <v>463</v>
      </c>
      <c r="R78" s="7">
        <v>148</v>
      </c>
      <c r="S78" s="7" t="s">
        <v>342</v>
      </c>
      <c r="T78" s="18">
        <v>1322300</v>
      </c>
      <c r="U78" s="19" t="s">
        <v>136</v>
      </c>
      <c r="V78" s="7"/>
    </row>
    <row r="79" spans="2:22" x14ac:dyDescent="0.2">
      <c r="B79" s="10" t="s">
        <v>504</v>
      </c>
      <c r="C79" s="10" t="s">
        <v>239</v>
      </c>
      <c r="D79" s="10" t="s">
        <v>254</v>
      </c>
      <c r="E79" s="10" t="s">
        <v>279</v>
      </c>
      <c r="F79" s="10" t="s">
        <v>141</v>
      </c>
      <c r="G79" s="10" t="s">
        <v>256</v>
      </c>
      <c r="H79" s="10" t="s">
        <v>181</v>
      </c>
      <c r="I79" s="10" t="s">
        <v>214</v>
      </c>
      <c r="J79" s="20">
        <v>0</v>
      </c>
      <c r="K79" s="21">
        <v>46939000</v>
      </c>
      <c r="L79" s="21">
        <v>0</v>
      </c>
      <c r="M79" s="10" t="s">
        <v>143</v>
      </c>
      <c r="N79" s="10" t="s">
        <v>194</v>
      </c>
      <c r="O79" s="10" t="s">
        <v>183</v>
      </c>
      <c r="P79" s="10" t="s">
        <v>325</v>
      </c>
      <c r="Q79" s="10" t="s">
        <v>505</v>
      </c>
      <c r="R79" s="10">
        <v>134</v>
      </c>
      <c r="S79" s="10" t="s">
        <v>506</v>
      </c>
      <c r="T79" s="21">
        <v>2253700</v>
      </c>
      <c r="U79" s="22" t="s">
        <v>136</v>
      </c>
      <c r="V79" s="10"/>
    </row>
    <row r="80" spans="2:22" x14ac:dyDescent="0.2">
      <c r="B80" s="7" t="s">
        <v>507</v>
      </c>
      <c r="C80" s="7" t="s">
        <v>138</v>
      </c>
      <c r="D80" s="7" t="s">
        <v>210</v>
      </c>
      <c r="E80" s="7" t="s">
        <v>262</v>
      </c>
      <c r="F80" s="7" t="s">
        <v>268</v>
      </c>
      <c r="G80" s="7" t="s">
        <v>173</v>
      </c>
      <c r="H80" s="7" t="s">
        <v>142</v>
      </c>
      <c r="I80" s="7" t="s">
        <v>193</v>
      </c>
      <c r="J80" s="17">
        <v>10</v>
      </c>
      <c r="K80" s="18">
        <v>62682000</v>
      </c>
      <c r="L80" s="18">
        <v>6268000</v>
      </c>
      <c r="M80" s="7" t="s">
        <v>234</v>
      </c>
      <c r="N80" s="7" t="s">
        <v>204</v>
      </c>
      <c r="O80" s="7" t="s">
        <v>132</v>
      </c>
      <c r="P80" s="7" t="s">
        <v>508</v>
      </c>
      <c r="Q80" s="7" t="s">
        <v>509</v>
      </c>
      <c r="R80" s="7">
        <v>209</v>
      </c>
      <c r="S80" s="7" t="s">
        <v>510</v>
      </c>
      <c r="T80" s="18">
        <v>1846900</v>
      </c>
      <c r="U80" s="19" t="s">
        <v>136</v>
      </c>
      <c r="V80" s="7"/>
    </row>
    <row r="81" spans="2:22" x14ac:dyDescent="0.2">
      <c r="B81" s="10" t="s">
        <v>511</v>
      </c>
      <c r="C81" s="10" t="s">
        <v>149</v>
      </c>
      <c r="D81" s="10" t="s">
        <v>190</v>
      </c>
      <c r="E81" s="10" t="s">
        <v>433</v>
      </c>
      <c r="F81" s="10" t="s">
        <v>141</v>
      </c>
      <c r="G81" s="10" t="s">
        <v>212</v>
      </c>
      <c r="H81" s="10" t="s">
        <v>280</v>
      </c>
      <c r="I81" s="10" t="s">
        <v>243</v>
      </c>
      <c r="J81" s="20">
        <v>60</v>
      </c>
      <c r="K81" s="21">
        <v>66595000</v>
      </c>
      <c r="L81" s="21">
        <v>39957000</v>
      </c>
      <c r="M81" s="10" t="s">
        <v>130</v>
      </c>
      <c r="N81" s="10" t="s">
        <v>221</v>
      </c>
      <c r="O81" s="10" t="s">
        <v>195</v>
      </c>
      <c r="P81" s="10" t="s">
        <v>512</v>
      </c>
      <c r="Q81" s="10" t="s">
        <v>513</v>
      </c>
      <c r="R81" s="10">
        <v>246</v>
      </c>
      <c r="S81" s="10" t="s">
        <v>224</v>
      </c>
      <c r="T81" s="21">
        <v>1451900</v>
      </c>
      <c r="U81" s="22" t="s">
        <v>136</v>
      </c>
      <c r="V81" s="10"/>
    </row>
    <row r="82" spans="2:22" hidden="1" x14ac:dyDescent="0.2">
      <c r="B82" s="7" t="s">
        <v>514</v>
      </c>
      <c r="C82" s="7" t="s">
        <v>123</v>
      </c>
      <c r="D82" s="7" t="s">
        <v>190</v>
      </c>
      <c r="E82" s="7" t="s">
        <v>515</v>
      </c>
      <c r="F82" s="7" t="s">
        <v>163</v>
      </c>
      <c r="G82" s="7" t="s">
        <v>173</v>
      </c>
      <c r="H82" s="7" t="s">
        <v>213</v>
      </c>
      <c r="I82" s="7" t="s">
        <v>202</v>
      </c>
      <c r="J82" s="17">
        <v>5</v>
      </c>
      <c r="K82" s="18">
        <v>69271000</v>
      </c>
      <c r="L82" s="18">
        <v>3464000</v>
      </c>
      <c r="M82" s="7" t="s">
        <v>174</v>
      </c>
      <c r="N82" s="7" t="s">
        <v>194</v>
      </c>
      <c r="O82" s="7" t="s">
        <v>132</v>
      </c>
      <c r="P82" s="7" t="s">
        <v>447</v>
      </c>
      <c r="Q82" s="7" t="s">
        <v>516</v>
      </c>
      <c r="R82" s="7">
        <v>34</v>
      </c>
      <c r="S82" s="7" t="s">
        <v>216</v>
      </c>
      <c r="T82" s="18">
        <v>1847400</v>
      </c>
      <c r="U82" s="7" t="s">
        <v>187</v>
      </c>
      <c r="V82" s="7"/>
    </row>
    <row r="83" spans="2:22" x14ac:dyDescent="0.2">
      <c r="B83" s="10" t="s">
        <v>517</v>
      </c>
      <c r="C83" s="10" t="s">
        <v>149</v>
      </c>
      <c r="D83" s="10" t="s">
        <v>179</v>
      </c>
      <c r="E83" s="10" t="s">
        <v>384</v>
      </c>
      <c r="F83" s="10" t="s">
        <v>141</v>
      </c>
      <c r="G83" s="10" t="s">
        <v>173</v>
      </c>
      <c r="H83" s="10" t="s">
        <v>128</v>
      </c>
      <c r="I83" s="10" t="s">
        <v>129</v>
      </c>
      <c r="J83" s="20">
        <v>35</v>
      </c>
      <c r="K83" s="21">
        <v>36570000</v>
      </c>
      <c r="L83" s="21">
        <v>12800000</v>
      </c>
      <c r="M83" s="10" t="s">
        <v>143</v>
      </c>
      <c r="N83" s="10" t="s">
        <v>194</v>
      </c>
      <c r="O83" s="10" t="s">
        <v>132</v>
      </c>
      <c r="P83" s="10" t="s">
        <v>518</v>
      </c>
      <c r="Q83" s="10" t="s">
        <v>519</v>
      </c>
      <c r="R83" s="10">
        <v>194</v>
      </c>
      <c r="S83" s="10" t="s">
        <v>520</v>
      </c>
      <c r="T83" s="21">
        <v>1965500</v>
      </c>
      <c r="U83" s="22" t="s">
        <v>136</v>
      </c>
      <c r="V83" s="10"/>
    </row>
    <row r="84" spans="2:22" hidden="1" x14ac:dyDescent="0.2">
      <c r="B84" s="7" t="s">
        <v>521</v>
      </c>
      <c r="C84" s="7" t="s">
        <v>272</v>
      </c>
      <c r="D84" s="7" t="s">
        <v>227</v>
      </c>
      <c r="E84" s="7" t="s">
        <v>522</v>
      </c>
      <c r="F84" s="7" t="s">
        <v>268</v>
      </c>
      <c r="G84" s="7" t="s">
        <v>212</v>
      </c>
      <c r="H84" s="7" t="s">
        <v>164</v>
      </c>
      <c r="I84" s="7" t="s">
        <v>202</v>
      </c>
      <c r="J84" s="17">
        <v>5</v>
      </c>
      <c r="K84" s="18">
        <v>23547000</v>
      </c>
      <c r="L84" s="18">
        <v>1177000</v>
      </c>
      <c r="M84" s="7" t="s">
        <v>234</v>
      </c>
      <c r="N84" s="7" t="s">
        <v>131</v>
      </c>
      <c r="O84" s="7" t="s">
        <v>144</v>
      </c>
      <c r="P84" s="7" t="s">
        <v>463</v>
      </c>
      <c r="Q84" s="7" t="s">
        <v>519</v>
      </c>
      <c r="R84" s="7">
        <v>90</v>
      </c>
      <c r="S84" s="7" t="s">
        <v>523</v>
      </c>
      <c r="T84" s="18">
        <v>1345600</v>
      </c>
      <c r="U84" s="7" t="s">
        <v>187</v>
      </c>
      <c r="V84" s="7"/>
    </row>
    <row r="85" spans="2:22" x14ac:dyDescent="0.2">
      <c r="B85" s="10" t="s">
        <v>524</v>
      </c>
      <c r="C85" s="10" t="s">
        <v>149</v>
      </c>
      <c r="D85" s="10" t="s">
        <v>139</v>
      </c>
      <c r="E85" s="10" t="s">
        <v>525</v>
      </c>
      <c r="F85" s="10" t="s">
        <v>141</v>
      </c>
      <c r="G85" s="10" t="s">
        <v>256</v>
      </c>
      <c r="H85" s="10" t="s">
        <v>213</v>
      </c>
      <c r="I85" s="10" t="s">
        <v>243</v>
      </c>
      <c r="J85" s="20">
        <v>60</v>
      </c>
      <c r="K85" s="21">
        <v>53559000</v>
      </c>
      <c r="L85" s="21">
        <v>32135000</v>
      </c>
      <c r="M85" s="10" t="s">
        <v>165</v>
      </c>
      <c r="N85" s="10" t="s">
        <v>155</v>
      </c>
      <c r="O85" s="10" t="s">
        <v>183</v>
      </c>
      <c r="P85" s="10" t="s">
        <v>526</v>
      </c>
      <c r="Q85" s="10" t="s">
        <v>527</v>
      </c>
      <c r="R85" s="10">
        <v>135</v>
      </c>
      <c r="S85" s="10" t="s">
        <v>434</v>
      </c>
      <c r="T85" s="21">
        <v>3410600</v>
      </c>
      <c r="U85" s="22" t="s">
        <v>136</v>
      </c>
      <c r="V85" s="10"/>
    </row>
    <row r="86" spans="2:22" hidden="1" x14ac:dyDescent="0.2">
      <c r="B86" s="7" t="s">
        <v>528</v>
      </c>
      <c r="C86" s="7" t="s">
        <v>322</v>
      </c>
      <c r="D86" s="7" t="s">
        <v>179</v>
      </c>
      <c r="E86" s="7" t="s">
        <v>529</v>
      </c>
      <c r="F86" s="7" t="s">
        <v>141</v>
      </c>
      <c r="G86" s="7" t="s">
        <v>152</v>
      </c>
      <c r="H86" s="7" t="s">
        <v>128</v>
      </c>
      <c r="I86" s="7" t="s">
        <v>202</v>
      </c>
      <c r="J86" s="17">
        <v>5</v>
      </c>
      <c r="K86" s="18">
        <v>71587000</v>
      </c>
      <c r="L86" s="18">
        <v>3579000</v>
      </c>
      <c r="M86" s="7" t="s">
        <v>275</v>
      </c>
      <c r="N86" s="7" t="s">
        <v>131</v>
      </c>
      <c r="O86" s="7" t="s">
        <v>183</v>
      </c>
      <c r="P86" s="7" t="s">
        <v>276</v>
      </c>
      <c r="Q86" s="7" t="s">
        <v>530</v>
      </c>
      <c r="R86" s="7">
        <v>39</v>
      </c>
      <c r="S86" s="7" t="s">
        <v>399</v>
      </c>
      <c r="T86" s="18">
        <v>4426800</v>
      </c>
      <c r="U86" s="7" t="s">
        <v>187</v>
      </c>
      <c r="V86" s="7"/>
    </row>
    <row r="87" spans="2:22" x14ac:dyDescent="0.2">
      <c r="B87" s="10" t="s">
        <v>531</v>
      </c>
      <c r="C87" s="10" t="s">
        <v>138</v>
      </c>
      <c r="D87" s="10" t="s">
        <v>150</v>
      </c>
      <c r="E87" s="10" t="s">
        <v>443</v>
      </c>
      <c r="F87" s="10" t="s">
        <v>141</v>
      </c>
      <c r="G87" s="10" t="s">
        <v>173</v>
      </c>
      <c r="H87" s="10" t="s">
        <v>142</v>
      </c>
      <c r="I87" s="10" t="s">
        <v>243</v>
      </c>
      <c r="J87" s="20">
        <v>60</v>
      </c>
      <c r="K87" s="21">
        <v>45127000</v>
      </c>
      <c r="L87" s="21">
        <v>27076000</v>
      </c>
      <c r="M87" s="10" t="s">
        <v>143</v>
      </c>
      <c r="N87" s="10" t="s">
        <v>204</v>
      </c>
      <c r="O87" s="10" t="s">
        <v>144</v>
      </c>
      <c r="P87" s="10" t="s">
        <v>532</v>
      </c>
      <c r="Q87" s="10" t="s">
        <v>458</v>
      </c>
      <c r="R87" s="10">
        <v>200</v>
      </c>
      <c r="S87" s="10" t="s">
        <v>533</v>
      </c>
      <c r="T87" s="21">
        <v>2224800</v>
      </c>
      <c r="U87" s="22" t="s">
        <v>136</v>
      </c>
      <c r="V87" s="10"/>
    </row>
    <row r="88" spans="2:22" x14ac:dyDescent="0.2">
      <c r="B88" s="7" t="s">
        <v>534</v>
      </c>
      <c r="C88" s="7" t="s">
        <v>307</v>
      </c>
      <c r="D88" s="7" t="s">
        <v>227</v>
      </c>
      <c r="E88" s="7" t="s">
        <v>535</v>
      </c>
      <c r="F88" s="7" t="s">
        <v>233</v>
      </c>
      <c r="G88" s="7" t="s">
        <v>256</v>
      </c>
      <c r="H88" s="7" t="s">
        <v>128</v>
      </c>
      <c r="I88" s="7" t="s">
        <v>214</v>
      </c>
      <c r="J88" s="17">
        <v>0</v>
      </c>
      <c r="K88" s="18">
        <v>24195000</v>
      </c>
      <c r="L88" s="18">
        <v>0</v>
      </c>
      <c r="M88" s="7" t="s">
        <v>165</v>
      </c>
      <c r="N88" s="7" t="s">
        <v>204</v>
      </c>
      <c r="O88" s="7" t="s">
        <v>144</v>
      </c>
      <c r="P88" s="7" t="s">
        <v>536</v>
      </c>
      <c r="Q88" s="7" t="s">
        <v>447</v>
      </c>
      <c r="R88" s="7">
        <v>115</v>
      </c>
      <c r="S88" s="7" t="s">
        <v>537</v>
      </c>
      <c r="T88" s="18">
        <v>1540100</v>
      </c>
      <c r="U88" s="19" t="s">
        <v>136</v>
      </c>
      <c r="V88" s="7"/>
    </row>
    <row r="89" spans="2:22" x14ac:dyDescent="0.2">
      <c r="B89" s="10" t="s">
        <v>538</v>
      </c>
      <c r="C89" s="10" t="s">
        <v>239</v>
      </c>
      <c r="D89" s="10" t="s">
        <v>248</v>
      </c>
      <c r="E89" s="10" t="s">
        <v>539</v>
      </c>
      <c r="F89" s="10" t="s">
        <v>268</v>
      </c>
      <c r="G89" s="10" t="s">
        <v>340</v>
      </c>
      <c r="H89" s="10" t="s">
        <v>153</v>
      </c>
      <c r="I89" s="10" t="s">
        <v>182</v>
      </c>
      <c r="J89" s="20">
        <v>15</v>
      </c>
      <c r="K89" s="21">
        <v>37826000</v>
      </c>
      <c r="L89" s="21">
        <v>5674000</v>
      </c>
      <c r="M89" s="10" t="s">
        <v>275</v>
      </c>
      <c r="N89" s="10" t="s">
        <v>131</v>
      </c>
      <c r="O89" s="10" t="s">
        <v>132</v>
      </c>
      <c r="P89" s="10" t="s">
        <v>540</v>
      </c>
      <c r="Q89" s="10" t="s">
        <v>198</v>
      </c>
      <c r="R89" s="10">
        <v>271</v>
      </c>
      <c r="S89" s="10" t="s">
        <v>541</v>
      </c>
      <c r="T89" s="21">
        <v>2839300</v>
      </c>
      <c r="U89" s="22" t="s">
        <v>136</v>
      </c>
      <c r="V89" s="10"/>
    </row>
    <row r="90" spans="2:22" hidden="1" x14ac:dyDescent="0.2">
      <c r="B90" s="7" t="s">
        <v>542</v>
      </c>
      <c r="C90" s="7" t="s">
        <v>226</v>
      </c>
      <c r="D90" s="7" t="s">
        <v>171</v>
      </c>
      <c r="E90" s="7" t="s">
        <v>543</v>
      </c>
      <c r="F90" s="7" t="s">
        <v>268</v>
      </c>
      <c r="G90" s="7" t="s">
        <v>340</v>
      </c>
      <c r="H90" s="7" t="s">
        <v>280</v>
      </c>
      <c r="I90" s="7" t="s">
        <v>182</v>
      </c>
      <c r="J90" s="17">
        <v>15</v>
      </c>
      <c r="K90" s="18">
        <v>75382000</v>
      </c>
      <c r="L90" s="18">
        <v>11307000</v>
      </c>
      <c r="M90" s="7" t="s">
        <v>165</v>
      </c>
      <c r="N90" s="7" t="s">
        <v>194</v>
      </c>
      <c r="O90" s="7" t="s">
        <v>183</v>
      </c>
      <c r="P90" s="7" t="s">
        <v>446</v>
      </c>
      <c r="Q90" s="7" t="s">
        <v>544</v>
      </c>
      <c r="R90" s="7">
        <v>37</v>
      </c>
      <c r="S90" s="7" t="s">
        <v>277</v>
      </c>
      <c r="T90" s="18">
        <v>2057500</v>
      </c>
      <c r="U90" s="7" t="s">
        <v>187</v>
      </c>
      <c r="V90" s="7"/>
    </row>
    <row r="91" spans="2:22" x14ac:dyDescent="0.2">
      <c r="B91" s="10" t="s">
        <v>545</v>
      </c>
      <c r="C91" s="10" t="s">
        <v>272</v>
      </c>
      <c r="D91" s="10" t="s">
        <v>240</v>
      </c>
      <c r="E91" s="10" t="s">
        <v>487</v>
      </c>
      <c r="F91" s="10" t="s">
        <v>163</v>
      </c>
      <c r="G91" s="10" t="s">
        <v>340</v>
      </c>
      <c r="H91" s="10" t="s">
        <v>128</v>
      </c>
      <c r="I91" s="10" t="s">
        <v>193</v>
      </c>
      <c r="J91" s="20">
        <v>10</v>
      </c>
      <c r="K91" s="21">
        <v>31739000</v>
      </c>
      <c r="L91" s="21">
        <v>3174000</v>
      </c>
      <c r="M91" s="10" t="s">
        <v>143</v>
      </c>
      <c r="N91" s="10" t="s">
        <v>221</v>
      </c>
      <c r="O91" s="10" t="s">
        <v>195</v>
      </c>
      <c r="P91" s="10" t="s">
        <v>156</v>
      </c>
      <c r="Q91" s="10" t="s">
        <v>437</v>
      </c>
      <c r="R91" s="10">
        <v>139</v>
      </c>
      <c r="S91" s="10" t="s">
        <v>546</v>
      </c>
      <c r="T91" s="21">
        <v>1488100</v>
      </c>
      <c r="U91" s="22" t="s">
        <v>136</v>
      </c>
      <c r="V91" s="10"/>
    </row>
    <row r="92" spans="2:22" x14ac:dyDescent="0.2">
      <c r="B92" s="7" t="s">
        <v>547</v>
      </c>
      <c r="C92" s="7" t="s">
        <v>328</v>
      </c>
      <c r="D92" s="7" t="s">
        <v>240</v>
      </c>
      <c r="E92" s="7" t="s">
        <v>548</v>
      </c>
      <c r="F92" s="7" t="s">
        <v>126</v>
      </c>
      <c r="G92" s="7" t="s">
        <v>256</v>
      </c>
      <c r="H92" s="7" t="s">
        <v>213</v>
      </c>
      <c r="I92" s="7" t="s">
        <v>154</v>
      </c>
      <c r="J92" s="17">
        <v>100</v>
      </c>
      <c r="K92" s="18">
        <v>80211000</v>
      </c>
      <c r="L92" s="18">
        <v>80211000</v>
      </c>
      <c r="M92" s="7" t="s">
        <v>234</v>
      </c>
      <c r="N92" s="7" t="s">
        <v>221</v>
      </c>
      <c r="O92" s="7" t="s">
        <v>144</v>
      </c>
      <c r="P92" s="7" t="s">
        <v>336</v>
      </c>
      <c r="Q92" s="7" t="s">
        <v>244</v>
      </c>
      <c r="R92" s="7">
        <v>106</v>
      </c>
      <c r="S92" s="7" t="s">
        <v>549</v>
      </c>
      <c r="T92" s="18">
        <v>2596400</v>
      </c>
      <c r="U92" s="19" t="s">
        <v>136</v>
      </c>
      <c r="V92" s="7"/>
    </row>
    <row r="93" spans="2:22" x14ac:dyDescent="0.2">
      <c r="B93" s="10" t="s">
        <v>550</v>
      </c>
      <c r="C93" s="10" t="s">
        <v>149</v>
      </c>
      <c r="D93" s="10" t="s">
        <v>248</v>
      </c>
      <c r="E93" s="10" t="s">
        <v>285</v>
      </c>
      <c r="F93" s="10" t="s">
        <v>126</v>
      </c>
      <c r="G93" s="10" t="s">
        <v>127</v>
      </c>
      <c r="H93" s="10" t="s">
        <v>280</v>
      </c>
      <c r="I93" s="10" t="s">
        <v>182</v>
      </c>
      <c r="J93" s="20">
        <v>15</v>
      </c>
      <c r="K93" s="21">
        <v>84112000</v>
      </c>
      <c r="L93" s="21">
        <v>12617000</v>
      </c>
      <c r="M93" s="10" t="s">
        <v>203</v>
      </c>
      <c r="N93" s="10" t="s">
        <v>194</v>
      </c>
      <c r="O93" s="10" t="s">
        <v>132</v>
      </c>
      <c r="P93" s="10" t="s">
        <v>551</v>
      </c>
      <c r="Q93" s="10" t="s">
        <v>270</v>
      </c>
      <c r="R93" s="10">
        <v>261</v>
      </c>
      <c r="S93" s="10" t="s">
        <v>552</v>
      </c>
      <c r="T93" s="21">
        <v>2818600</v>
      </c>
      <c r="U93" s="22" t="s">
        <v>136</v>
      </c>
      <c r="V93" s="10"/>
    </row>
    <row r="94" spans="2:22" hidden="1" x14ac:dyDescent="0.2">
      <c r="B94" s="7" t="s">
        <v>553</v>
      </c>
      <c r="C94" s="7" t="s">
        <v>239</v>
      </c>
      <c r="D94" s="7" t="s">
        <v>210</v>
      </c>
      <c r="E94" s="7" t="s">
        <v>554</v>
      </c>
      <c r="F94" s="7" t="s">
        <v>141</v>
      </c>
      <c r="G94" s="7" t="s">
        <v>127</v>
      </c>
      <c r="H94" s="7" t="s">
        <v>142</v>
      </c>
      <c r="I94" s="7" t="s">
        <v>202</v>
      </c>
      <c r="J94" s="17">
        <v>5</v>
      </c>
      <c r="K94" s="18">
        <v>60886000</v>
      </c>
      <c r="L94" s="18">
        <v>3044000</v>
      </c>
      <c r="M94" s="7" t="s">
        <v>143</v>
      </c>
      <c r="N94" s="7" t="s">
        <v>204</v>
      </c>
      <c r="O94" s="7" t="s">
        <v>195</v>
      </c>
      <c r="P94" s="7" t="s">
        <v>291</v>
      </c>
      <c r="Q94" s="7" t="s">
        <v>555</v>
      </c>
      <c r="R94" s="7">
        <v>54</v>
      </c>
      <c r="S94" s="7" t="s">
        <v>401</v>
      </c>
      <c r="T94" s="18">
        <v>1234200</v>
      </c>
      <c r="U94" s="7" t="s">
        <v>187</v>
      </c>
      <c r="V94" s="7"/>
    </row>
    <row r="95" spans="2:22" hidden="1" x14ac:dyDescent="0.2">
      <c r="B95" s="10" t="s">
        <v>556</v>
      </c>
      <c r="C95" s="10" t="s">
        <v>200</v>
      </c>
      <c r="D95" s="10" t="s">
        <v>210</v>
      </c>
      <c r="E95" s="10" t="s">
        <v>416</v>
      </c>
      <c r="F95" s="10" t="s">
        <v>233</v>
      </c>
      <c r="G95" s="10" t="s">
        <v>152</v>
      </c>
      <c r="H95" s="10" t="s">
        <v>128</v>
      </c>
      <c r="I95" s="10" t="s">
        <v>129</v>
      </c>
      <c r="J95" s="20">
        <v>35</v>
      </c>
      <c r="K95" s="21">
        <v>36502000</v>
      </c>
      <c r="L95" s="21">
        <v>12776000</v>
      </c>
      <c r="M95" s="10" t="s">
        <v>275</v>
      </c>
      <c r="N95" s="10" t="s">
        <v>194</v>
      </c>
      <c r="O95" s="10" t="s">
        <v>195</v>
      </c>
      <c r="P95" s="10" t="s">
        <v>557</v>
      </c>
      <c r="Q95" s="10" t="s">
        <v>558</v>
      </c>
      <c r="R95" s="10">
        <v>27</v>
      </c>
      <c r="S95" s="10" t="s">
        <v>417</v>
      </c>
      <c r="T95" s="21">
        <v>2830500</v>
      </c>
      <c r="U95" s="10" t="s">
        <v>187</v>
      </c>
      <c r="V95" s="10"/>
    </row>
    <row r="96" spans="2:22" hidden="1" x14ac:dyDescent="0.2">
      <c r="B96" s="7" t="s">
        <v>559</v>
      </c>
      <c r="C96" s="7" t="s">
        <v>123</v>
      </c>
      <c r="D96" s="7" t="s">
        <v>150</v>
      </c>
      <c r="E96" s="7" t="s">
        <v>560</v>
      </c>
      <c r="F96" s="7" t="s">
        <v>141</v>
      </c>
      <c r="G96" s="7" t="s">
        <v>340</v>
      </c>
      <c r="H96" s="7" t="s">
        <v>213</v>
      </c>
      <c r="I96" s="7" t="s">
        <v>182</v>
      </c>
      <c r="J96" s="17">
        <v>15</v>
      </c>
      <c r="K96" s="18">
        <v>61164000</v>
      </c>
      <c r="L96" s="18">
        <v>9175000</v>
      </c>
      <c r="M96" s="7" t="s">
        <v>174</v>
      </c>
      <c r="N96" s="7" t="s">
        <v>309</v>
      </c>
      <c r="O96" s="7" t="s">
        <v>183</v>
      </c>
      <c r="P96" s="7" t="s">
        <v>205</v>
      </c>
      <c r="Q96" s="7" t="s">
        <v>561</v>
      </c>
      <c r="R96" s="7">
        <v>24</v>
      </c>
      <c r="S96" s="7" t="s">
        <v>293</v>
      </c>
      <c r="T96" s="18">
        <v>3806900</v>
      </c>
      <c r="U96" s="7" t="s">
        <v>187</v>
      </c>
      <c r="V96" s="7"/>
    </row>
    <row r="97" spans="2:22" hidden="1" x14ac:dyDescent="0.2">
      <c r="B97" s="10" t="s">
        <v>562</v>
      </c>
      <c r="C97" s="10" t="s">
        <v>189</v>
      </c>
      <c r="D97" s="10" t="s">
        <v>323</v>
      </c>
      <c r="E97" s="10" t="s">
        <v>162</v>
      </c>
      <c r="F97" s="10" t="s">
        <v>126</v>
      </c>
      <c r="G97" s="10" t="s">
        <v>340</v>
      </c>
      <c r="H97" s="10" t="s">
        <v>192</v>
      </c>
      <c r="I97" s="10" t="s">
        <v>129</v>
      </c>
      <c r="J97" s="20">
        <v>35</v>
      </c>
      <c r="K97" s="21">
        <v>15012000</v>
      </c>
      <c r="L97" s="21">
        <v>5254000</v>
      </c>
      <c r="M97" s="10" t="s">
        <v>234</v>
      </c>
      <c r="N97" s="10" t="s">
        <v>204</v>
      </c>
      <c r="O97" s="10" t="s">
        <v>132</v>
      </c>
      <c r="P97" s="10" t="s">
        <v>372</v>
      </c>
      <c r="Q97" s="10" t="s">
        <v>530</v>
      </c>
      <c r="R97" s="10">
        <v>38</v>
      </c>
      <c r="S97" s="10" t="s">
        <v>563</v>
      </c>
      <c r="T97" s="21">
        <v>513000</v>
      </c>
      <c r="U97" s="10" t="s">
        <v>187</v>
      </c>
      <c r="V97" s="10"/>
    </row>
    <row r="98" spans="2:22" hidden="1" x14ac:dyDescent="0.2">
      <c r="B98" s="7" t="s">
        <v>564</v>
      </c>
      <c r="C98" s="7" t="s">
        <v>149</v>
      </c>
      <c r="D98" s="7" t="s">
        <v>139</v>
      </c>
      <c r="E98" s="7" t="s">
        <v>433</v>
      </c>
      <c r="F98" s="7" t="s">
        <v>163</v>
      </c>
      <c r="G98" s="7" t="s">
        <v>173</v>
      </c>
      <c r="H98" s="7" t="s">
        <v>181</v>
      </c>
      <c r="I98" s="7" t="s">
        <v>129</v>
      </c>
      <c r="J98" s="17">
        <v>35</v>
      </c>
      <c r="K98" s="18">
        <v>72484000</v>
      </c>
      <c r="L98" s="18">
        <v>25369000</v>
      </c>
      <c r="M98" s="7" t="s">
        <v>165</v>
      </c>
      <c r="N98" s="7" t="s">
        <v>194</v>
      </c>
      <c r="O98" s="7" t="s">
        <v>144</v>
      </c>
      <c r="P98" s="7" t="s">
        <v>270</v>
      </c>
      <c r="Q98" s="7" t="s">
        <v>565</v>
      </c>
      <c r="R98" s="7">
        <v>83</v>
      </c>
      <c r="S98" s="7" t="s">
        <v>566</v>
      </c>
      <c r="T98" s="18">
        <v>3292400</v>
      </c>
      <c r="U98" s="7" t="s">
        <v>187</v>
      </c>
      <c r="V98" s="7"/>
    </row>
    <row r="99" spans="2:22" x14ac:dyDescent="0.2">
      <c r="B99" s="10" t="s">
        <v>567</v>
      </c>
      <c r="C99" s="10" t="s">
        <v>322</v>
      </c>
      <c r="D99" s="10" t="s">
        <v>227</v>
      </c>
      <c r="E99" s="10" t="s">
        <v>449</v>
      </c>
      <c r="F99" s="10" t="s">
        <v>163</v>
      </c>
      <c r="G99" s="10" t="s">
        <v>127</v>
      </c>
      <c r="H99" s="10" t="s">
        <v>164</v>
      </c>
      <c r="I99" s="10" t="s">
        <v>193</v>
      </c>
      <c r="J99" s="20">
        <v>10</v>
      </c>
      <c r="K99" s="21">
        <v>25524000</v>
      </c>
      <c r="L99" s="21">
        <v>2552000</v>
      </c>
      <c r="M99" s="10" t="s">
        <v>130</v>
      </c>
      <c r="N99" s="10" t="s">
        <v>204</v>
      </c>
      <c r="O99" s="10" t="s">
        <v>144</v>
      </c>
      <c r="P99" s="10" t="s">
        <v>568</v>
      </c>
      <c r="Q99" s="10" t="s">
        <v>569</v>
      </c>
      <c r="R99" s="10">
        <v>114</v>
      </c>
      <c r="S99" s="10" t="s">
        <v>570</v>
      </c>
      <c r="T99" s="21">
        <v>1421800</v>
      </c>
      <c r="U99" s="22" t="s">
        <v>136</v>
      </c>
      <c r="V99" s="10"/>
    </row>
    <row r="100" spans="2:22" x14ac:dyDescent="0.2">
      <c r="B100" s="7" t="s">
        <v>690</v>
      </c>
      <c r="C100" s="7" t="s">
        <v>295</v>
      </c>
      <c r="D100" s="7" t="s">
        <v>254</v>
      </c>
      <c r="E100" s="7" t="s">
        <v>623</v>
      </c>
      <c r="F100" s="7" t="s">
        <v>126</v>
      </c>
      <c r="G100" s="7" t="s">
        <v>263</v>
      </c>
      <c r="H100" s="7" t="s">
        <v>128</v>
      </c>
      <c r="I100" s="7" t="s">
        <v>129</v>
      </c>
      <c r="J100" s="17">
        <v>35</v>
      </c>
      <c r="K100" s="18">
        <v>63679000</v>
      </c>
      <c r="L100" s="18">
        <v>22288000</v>
      </c>
      <c r="M100" s="7" t="s">
        <v>165</v>
      </c>
      <c r="N100" s="7" t="s">
        <v>131</v>
      </c>
      <c r="O100" s="7" t="s">
        <v>183</v>
      </c>
      <c r="P100" s="7" t="s">
        <v>196</v>
      </c>
      <c r="Q100" s="7" t="s">
        <v>549</v>
      </c>
      <c r="R100" s="7">
        <v>227</v>
      </c>
      <c r="S100" s="7" t="s">
        <v>330</v>
      </c>
      <c r="T100" s="18">
        <v>4844800</v>
      </c>
      <c r="U100" s="19" t="s">
        <v>136</v>
      </c>
      <c r="V100" s="7"/>
    </row>
    <row r="101" spans="2:22" x14ac:dyDescent="0.2">
      <c r="B101" s="10" t="s">
        <v>573</v>
      </c>
      <c r="C101" s="10" t="s">
        <v>304</v>
      </c>
      <c r="D101" s="10" t="s">
        <v>150</v>
      </c>
      <c r="E101" s="10" t="s">
        <v>324</v>
      </c>
      <c r="F101" s="10" t="s">
        <v>163</v>
      </c>
      <c r="G101" s="10" t="s">
        <v>152</v>
      </c>
      <c r="H101" s="10" t="s">
        <v>192</v>
      </c>
      <c r="I101" s="10" t="s">
        <v>243</v>
      </c>
      <c r="J101" s="20">
        <v>60</v>
      </c>
      <c r="K101" s="21">
        <v>22726000</v>
      </c>
      <c r="L101" s="21">
        <v>13636000</v>
      </c>
      <c r="M101" s="10" t="s">
        <v>130</v>
      </c>
      <c r="N101" s="10" t="s">
        <v>155</v>
      </c>
      <c r="O101" s="10" t="s">
        <v>195</v>
      </c>
      <c r="P101" s="10" t="s">
        <v>135</v>
      </c>
      <c r="Q101" s="10" t="s">
        <v>574</v>
      </c>
      <c r="R101" s="10">
        <v>141</v>
      </c>
      <c r="S101" s="10" t="s">
        <v>463</v>
      </c>
      <c r="T101" s="21">
        <v>1063700</v>
      </c>
      <c r="U101" s="22" t="s">
        <v>136</v>
      </c>
      <c r="V101" s="10"/>
    </row>
    <row r="102" spans="2:22" x14ac:dyDescent="0.2">
      <c r="B102" s="7" t="s">
        <v>575</v>
      </c>
      <c r="C102" s="7" t="s">
        <v>160</v>
      </c>
      <c r="D102" s="7" t="s">
        <v>161</v>
      </c>
      <c r="E102" s="7" t="s">
        <v>576</v>
      </c>
      <c r="F102" s="7" t="s">
        <v>126</v>
      </c>
      <c r="G102" s="7" t="s">
        <v>173</v>
      </c>
      <c r="H102" s="7" t="s">
        <v>164</v>
      </c>
      <c r="I102" s="7" t="s">
        <v>202</v>
      </c>
      <c r="J102" s="17">
        <v>5</v>
      </c>
      <c r="K102" s="18">
        <v>54273000</v>
      </c>
      <c r="L102" s="18">
        <v>2714000</v>
      </c>
      <c r="M102" s="7" t="s">
        <v>215</v>
      </c>
      <c r="N102" s="7" t="s">
        <v>309</v>
      </c>
      <c r="O102" s="7" t="s">
        <v>144</v>
      </c>
      <c r="P102" s="7" t="s">
        <v>392</v>
      </c>
      <c r="Q102" s="7" t="s">
        <v>389</v>
      </c>
      <c r="R102" s="7">
        <v>202</v>
      </c>
      <c r="S102" s="7" t="s">
        <v>577</v>
      </c>
      <c r="T102" s="18">
        <v>3679300</v>
      </c>
      <c r="U102" s="19" t="s">
        <v>136</v>
      </c>
      <c r="V102" s="7"/>
    </row>
    <row r="103" spans="2:22" x14ac:dyDescent="0.2">
      <c r="B103" s="10" t="s">
        <v>578</v>
      </c>
      <c r="C103" s="10" t="s">
        <v>209</v>
      </c>
      <c r="D103" s="10" t="s">
        <v>179</v>
      </c>
      <c r="E103" s="10" t="s">
        <v>191</v>
      </c>
      <c r="F103" s="10" t="s">
        <v>163</v>
      </c>
      <c r="G103" s="10" t="s">
        <v>263</v>
      </c>
      <c r="H103" s="10" t="s">
        <v>213</v>
      </c>
      <c r="I103" s="10" t="s">
        <v>214</v>
      </c>
      <c r="J103" s="20">
        <v>0</v>
      </c>
      <c r="K103" s="21">
        <v>34506000</v>
      </c>
      <c r="L103" s="21">
        <v>0</v>
      </c>
      <c r="M103" s="10" t="s">
        <v>203</v>
      </c>
      <c r="N103" s="10" t="s">
        <v>194</v>
      </c>
      <c r="O103" s="10" t="s">
        <v>195</v>
      </c>
      <c r="P103" s="10" t="s">
        <v>579</v>
      </c>
      <c r="Q103" s="10" t="s">
        <v>250</v>
      </c>
      <c r="R103" s="10">
        <v>130</v>
      </c>
      <c r="S103" s="10" t="s">
        <v>326</v>
      </c>
      <c r="T103" s="21">
        <v>1091800</v>
      </c>
      <c r="U103" s="22" t="s">
        <v>136</v>
      </c>
      <c r="V103" s="10"/>
    </row>
    <row r="104" spans="2:22" x14ac:dyDescent="0.2">
      <c r="B104" s="7" t="s">
        <v>580</v>
      </c>
      <c r="C104" s="7" t="s">
        <v>307</v>
      </c>
      <c r="D104" s="7" t="s">
        <v>273</v>
      </c>
      <c r="E104" s="7" t="s">
        <v>339</v>
      </c>
      <c r="F104" s="7" t="s">
        <v>126</v>
      </c>
      <c r="G104" s="7" t="s">
        <v>263</v>
      </c>
      <c r="H104" s="7" t="s">
        <v>142</v>
      </c>
      <c r="I104" s="7" t="s">
        <v>193</v>
      </c>
      <c r="J104" s="17">
        <v>10</v>
      </c>
      <c r="K104" s="18">
        <v>79719000</v>
      </c>
      <c r="L104" s="18">
        <v>7972000</v>
      </c>
      <c r="M104" s="7" t="s">
        <v>234</v>
      </c>
      <c r="N104" s="7" t="s">
        <v>221</v>
      </c>
      <c r="O104" s="7" t="s">
        <v>144</v>
      </c>
      <c r="P104" s="7" t="s">
        <v>496</v>
      </c>
      <c r="Q104" s="7" t="s">
        <v>409</v>
      </c>
      <c r="R104" s="7">
        <v>178</v>
      </c>
      <c r="S104" s="7" t="s">
        <v>581</v>
      </c>
      <c r="T104" s="18">
        <v>2245100</v>
      </c>
      <c r="U104" s="19" t="s">
        <v>136</v>
      </c>
      <c r="V104" s="7"/>
    </row>
    <row r="105" spans="2:22" x14ac:dyDescent="0.2">
      <c r="B105" s="10" t="s">
        <v>582</v>
      </c>
      <c r="C105" s="10" t="s">
        <v>239</v>
      </c>
      <c r="D105" s="10" t="s">
        <v>323</v>
      </c>
      <c r="E105" s="10" t="s">
        <v>583</v>
      </c>
      <c r="F105" s="10" t="s">
        <v>126</v>
      </c>
      <c r="G105" s="10" t="s">
        <v>256</v>
      </c>
      <c r="H105" s="10" t="s">
        <v>280</v>
      </c>
      <c r="I105" s="10" t="s">
        <v>129</v>
      </c>
      <c r="J105" s="20">
        <v>35</v>
      </c>
      <c r="K105" s="21">
        <v>41690000</v>
      </c>
      <c r="L105" s="21">
        <v>14592000</v>
      </c>
      <c r="M105" s="10" t="s">
        <v>143</v>
      </c>
      <c r="N105" s="10" t="s">
        <v>194</v>
      </c>
      <c r="O105" s="10" t="s">
        <v>183</v>
      </c>
      <c r="P105" s="10" t="s">
        <v>584</v>
      </c>
      <c r="Q105" s="10" t="s">
        <v>585</v>
      </c>
      <c r="R105" s="10">
        <v>270</v>
      </c>
      <c r="S105" s="10" t="s">
        <v>586</v>
      </c>
      <c r="T105" s="21">
        <v>2370000</v>
      </c>
      <c r="U105" s="22" t="s">
        <v>136</v>
      </c>
      <c r="V105" s="10"/>
    </row>
    <row r="106" spans="2:22" x14ac:dyDescent="0.2">
      <c r="B106" s="7" t="s">
        <v>587</v>
      </c>
      <c r="C106" s="7" t="s">
        <v>123</v>
      </c>
      <c r="D106" s="7" t="s">
        <v>161</v>
      </c>
      <c r="E106" s="7" t="s">
        <v>267</v>
      </c>
      <c r="F106" s="7" t="s">
        <v>141</v>
      </c>
      <c r="G106" s="7" t="s">
        <v>212</v>
      </c>
      <c r="H106" s="7" t="s">
        <v>153</v>
      </c>
      <c r="I106" s="7" t="s">
        <v>182</v>
      </c>
      <c r="J106" s="17">
        <v>15</v>
      </c>
      <c r="K106" s="18">
        <v>58586000</v>
      </c>
      <c r="L106" s="18">
        <v>8788000</v>
      </c>
      <c r="M106" s="7" t="s">
        <v>143</v>
      </c>
      <c r="N106" s="7" t="s">
        <v>204</v>
      </c>
      <c r="O106" s="7" t="s">
        <v>183</v>
      </c>
      <c r="P106" s="7" t="s">
        <v>426</v>
      </c>
      <c r="Q106" s="7" t="s">
        <v>457</v>
      </c>
      <c r="R106" s="7">
        <v>196</v>
      </c>
      <c r="S106" s="7" t="s">
        <v>283</v>
      </c>
      <c r="T106" s="18">
        <v>2448900</v>
      </c>
      <c r="U106" s="19" t="s">
        <v>136</v>
      </c>
      <c r="V106" s="7"/>
    </row>
    <row r="107" spans="2:22" x14ac:dyDescent="0.2">
      <c r="B107" s="10" t="s">
        <v>588</v>
      </c>
      <c r="C107" s="10" t="s">
        <v>189</v>
      </c>
      <c r="D107" s="10" t="s">
        <v>139</v>
      </c>
      <c r="E107" s="10" t="s">
        <v>589</v>
      </c>
      <c r="F107" s="10" t="s">
        <v>126</v>
      </c>
      <c r="G107" s="10" t="s">
        <v>212</v>
      </c>
      <c r="H107" s="10" t="s">
        <v>128</v>
      </c>
      <c r="I107" s="10" t="s">
        <v>243</v>
      </c>
      <c r="J107" s="20">
        <v>60</v>
      </c>
      <c r="K107" s="21">
        <v>37039000</v>
      </c>
      <c r="L107" s="21">
        <v>22223000</v>
      </c>
      <c r="M107" s="10" t="s">
        <v>130</v>
      </c>
      <c r="N107" s="10" t="s">
        <v>155</v>
      </c>
      <c r="O107" s="10" t="s">
        <v>132</v>
      </c>
      <c r="P107" s="10" t="s">
        <v>590</v>
      </c>
      <c r="Q107" s="10" t="s">
        <v>257</v>
      </c>
      <c r="R107" s="10">
        <v>268</v>
      </c>
      <c r="S107" s="10" t="s">
        <v>591</v>
      </c>
      <c r="T107" s="21">
        <v>2163000</v>
      </c>
      <c r="U107" s="22" t="s">
        <v>136</v>
      </c>
      <c r="V107" s="10"/>
    </row>
    <row r="108" spans="2:22" hidden="1" x14ac:dyDescent="0.2">
      <c r="B108" s="7" t="s">
        <v>592</v>
      </c>
      <c r="C108" s="7" t="s">
        <v>209</v>
      </c>
      <c r="D108" s="7" t="s">
        <v>139</v>
      </c>
      <c r="E108" s="7" t="s">
        <v>593</v>
      </c>
      <c r="F108" s="7" t="s">
        <v>163</v>
      </c>
      <c r="G108" s="7" t="s">
        <v>173</v>
      </c>
      <c r="H108" s="7" t="s">
        <v>181</v>
      </c>
      <c r="I108" s="7" t="s">
        <v>243</v>
      </c>
      <c r="J108" s="17">
        <v>60</v>
      </c>
      <c r="K108" s="18">
        <v>44237000</v>
      </c>
      <c r="L108" s="18">
        <v>26542000</v>
      </c>
      <c r="M108" s="7" t="s">
        <v>130</v>
      </c>
      <c r="N108" s="7" t="s">
        <v>131</v>
      </c>
      <c r="O108" s="7" t="s">
        <v>144</v>
      </c>
      <c r="P108" s="7" t="s">
        <v>244</v>
      </c>
      <c r="Q108" s="7" t="s">
        <v>594</v>
      </c>
      <c r="R108" s="7">
        <v>8</v>
      </c>
      <c r="S108" s="7" t="s">
        <v>288</v>
      </c>
      <c r="T108" s="18">
        <v>2035500</v>
      </c>
      <c r="U108" s="7" t="s">
        <v>187</v>
      </c>
      <c r="V108" s="7"/>
    </row>
    <row r="109" spans="2:22" hidden="1" x14ac:dyDescent="0.2">
      <c r="B109" s="10" t="s">
        <v>595</v>
      </c>
      <c r="C109" s="10" t="s">
        <v>239</v>
      </c>
      <c r="D109" s="10" t="s">
        <v>254</v>
      </c>
      <c r="E109" s="10" t="s">
        <v>596</v>
      </c>
      <c r="F109" s="10" t="s">
        <v>163</v>
      </c>
      <c r="G109" s="10" t="s">
        <v>152</v>
      </c>
      <c r="H109" s="10" t="s">
        <v>142</v>
      </c>
      <c r="I109" s="10" t="s">
        <v>182</v>
      </c>
      <c r="J109" s="20">
        <v>15</v>
      </c>
      <c r="K109" s="21">
        <v>44072000</v>
      </c>
      <c r="L109" s="21">
        <v>6611000</v>
      </c>
      <c r="M109" s="10" t="s">
        <v>130</v>
      </c>
      <c r="N109" s="10" t="s">
        <v>204</v>
      </c>
      <c r="O109" s="10" t="s">
        <v>132</v>
      </c>
      <c r="P109" s="10" t="s">
        <v>597</v>
      </c>
      <c r="Q109" s="10" t="s">
        <v>476</v>
      </c>
      <c r="R109" s="10">
        <v>73</v>
      </c>
      <c r="S109" s="10" t="s">
        <v>326</v>
      </c>
      <c r="T109" s="21">
        <v>2488100</v>
      </c>
      <c r="U109" s="10" t="s">
        <v>187</v>
      </c>
      <c r="V109" s="10"/>
    </row>
    <row r="110" spans="2:22" hidden="1" x14ac:dyDescent="0.2">
      <c r="B110" s="7" t="s">
        <v>598</v>
      </c>
      <c r="C110" s="7" t="s">
        <v>316</v>
      </c>
      <c r="D110" s="7" t="s">
        <v>124</v>
      </c>
      <c r="E110" s="7" t="s">
        <v>469</v>
      </c>
      <c r="F110" s="7" t="s">
        <v>141</v>
      </c>
      <c r="G110" s="7" t="s">
        <v>263</v>
      </c>
      <c r="H110" s="7" t="s">
        <v>192</v>
      </c>
      <c r="I110" s="7" t="s">
        <v>129</v>
      </c>
      <c r="J110" s="17">
        <v>35</v>
      </c>
      <c r="K110" s="18">
        <v>37047000</v>
      </c>
      <c r="L110" s="18">
        <v>12966000</v>
      </c>
      <c r="M110" s="7" t="s">
        <v>275</v>
      </c>
      <c r="N110" s="7" t="s">
        <v>194</v>
      </c>
      <c r="O110" s="7" t="s">
        <v>144</v>
      </c>
      <c r="P110" s="7" t="s">
        <v>501</v>
      </c>
      <c r="Q110" s="7" t="s">
        <v>599</v>
      </c>
      <c r="R110" s="7">
        <v>55</v>
      </c>
      <c r="S110" s="7" t="s">
        <v>600</v>
      </c>
      <c r="T110" s="18">
        <v>904200</v>
      </c>
      <c r="U110" s="7" t="s">
        <v>187</v>
      </c>
      <c r="V110" s="7"/>
    </row>
    <row r="111" spans="2:22" x14ac:dyDescent="0.2">
      <c r="B111" s="10" t="s">
        <v>601</v>
      </c>
      <c r="C111" s="10" t="s">
        <v>149</v>
      </c>
      <c r="D111" s="10" t="s">
        <v>179</v>
      </c>
      <c r="E111" s="10" t="s">
        <v>602</v>
      </c>
      <c r="F111" s="10" t="s">
        <v>141</v>
      </c>
      <c r="G111" s="10" t="s">
        <v>152</v>
      </c>
      <c r="H111" s="10" t="s">
        <v>164</v>
      </c>
      <c r="I111" s="10" t="s">
        <v>202</v>
      </c>
      <c r="J111" s="20">
        <v>5</v>
      </c>
      <c r="K111" s="21">
        <v>21232000</v>
      </c>
      <c r="L111" s="21">
        <v>1062000</v>
      </c>
      <c r="M111" s="10" t="s">
        <v>234</v>
      </c>
      <c r="N111" s="10" t="s">
        <v>131</v>
      </c>
      <c r="O111" s="10" t="s">
        <v>195</v>
      </c>
      <c r="P111" s="10" t="s">
        <v>603</v>
      </c>
      <c r="Q111" s="10" t="s">
        <v>604</v>
      </c>
      <c r="R111" s="10">
        <v>236</v>
      </c>
      <c r="S111" s="10" t="s">
        <v>605</v>
      </c>
      <c r="T111" s="21">
        <v>1204200</v>
      </c>
      <c r="U111" s="22" t="s">
        <v>136</v>
      </c>
      <c r="V111" s="10"/>
    </row>
    <row r="112" spans="2:22" hidden="1" x14ac:dyDescent="0.2">
      <c r="B112" s="7" t="s">
        <v>606</v>
      </c>
      <c r="C112" s="7" t="s">
        <v>322</v>
      </c>
      <c r="D112" s="7" t="s">
        <v>254</v>
      </c>
      <c r="E112" s="7" t="s">
        <v>408</v>
      </c>
      <c r="F112" s="7" t="s">
        <v>141</v>
      </c>
      <c r="G112" s="7" t="s">
        <v>173</v>
      </c>
      <c r="H112" s="7" t="s">
        <v>280</v>
      </c>
      <c r="I112" s="7" t="s">
        <v>243</v>
      </c>
      <c r="J112" s="17">
        <v>60</v>
      </c>
      <c r="K112" s="18">
        <v>70591000</v>
      </c>
      <c r="L112" s="18">
        <v>42355000</v>
      </c>
      <c r="M112" s="7" t="s">
        <v>275</v>
      </c>
      <c r="N112" s="7" t="s">
        <v>155</v>
      </c>
      <c r="O112" s="7" t="s">
        <v>183</v>
      </c>
      <c r="P112" s="7" t="s">
        <v>482</v>
      </c>
      <c r="Q112" s="7" t="s">
        <v>402</v>
      </c>
      <c r="R112" s="7">
        <v>51</v>
      </c>
      <c r="S112" s="7" t="s">
        <v>473</v>
      </c>
      <c r="T112" s="18">
        <v>3707100</v>
      </c>
      <c r="U112" s="7" t="s">
        <v>187</v>
      </c>
      <c r="V112" s="7"/>
    </row>
    <row r="113" spans="2:22" x14ac:dyDescent="0.2">
      <c r="B113" s="10" t="s">
        <v>607</v>
      </c>
      <c r="C113" s="10" t="s">
        <v>200</v>
      </c>
      <c r="D113" s="10" t="s">
        <v>273</v>
      </c>
      <c r="E113" s="10" t="s">
        <v>360</v>
      </c>
      <c r="F113" s="10" t="s">
        <v>141</v>
      </c>
      <c r="G113" s="10" t="s">
        <v>152</v>
      </c>
      <c r="H113" s="10" t="s">
        <v>181</v>
      </c>
      <c r="I113" s="10" t="s">
        <v>129</v>
      </c>
      <c r="J113" s="20">
        <v>35</v>
      </c>
      <c r="K113" s="21">
        <v>69176000</v>
      </c>
      <c r="L113" s="21">
        <v>24212000</v>
      </c>
      <c r="M113" s="10" t="s">
        <v>174</v>
      </c>
      <c r="N113" s="10" t="s">
        <v>194</v>
      </c>
      <c r="O113" s="10" t="s">
        <v>183</v>
      </c>
      <c r="P113" s="10" t="s">
        <v>325</v>
      </c>
      <c r="Q113" s="10" t="s">
        <v>270</v>
      </c>
      <c r="R113" s="10">
        <v>134</v>
      </c>
      <c r="S113" s="10" t="s">
        <v>568</v>
      </c>
      <c r="T113" s="21">
        <v>1776900</v>
      </c>
      <c r="U113" s="22" t="s">
        <v>136</v>
      </c>
      <c r="V113" s="10"/>
    </row>
    <row r="114" spans="2:22" x14ac:dyDescent="0.2">
      <c r="B114" s="7" t="s">
        <v>608</v>
      </c>
      <c r="C114" s="7" t="s">
        <v>261</v>
      </c>
      <c r="D114" s="7" t="s">
        <v>139</v>
      </c>
      <c r="E114" s="7" t="s">
        <v>602</v>
      </c>
      <c r="F114" s="7" t="s">
        <v>141</v>
      </c>
      <c r="G114" s="7" t="s">
        <v>242</v>
      </c>
      <c r="H114" s="7" t="s">
        <v>192</v>
      </c>
      <c r="I114" s="7" t="s">
        <v>243</v>
      </c>
      <c r="J114" s="17">
        <v>60</v>
      </c>
      <c r="K114" s="18">
        <v>73489000</v>
      </c>
      <c r="L114" s="18">
        <v>44093000</v>
      </c>
      <c r="M114" s="7" t="s">
        <v>143</v>
      </c>
      <c r="N114" s="7" t="s">
        <v>204</v>
      </c>
      <c r="O114" s="7" t="s">
        <v>144</v>
      </c>
      <c r="P114" s="7" t="s">
        <v>609</v>
      </c>
      <c r="Q114" s="7" t="s">
        <v>431</v>
      </c>
      <c r="R114" s="7">
        <v>95</v>
      </c>
      <c r="S114" s="7" t="s">
        <v>610</v>
      </c>
      <c r="T114" s="18">
        <v>2896400</v>
      </c>
      <c r="U114" s="19" t="s">
        <v>136</v>
      </c>
      <c r="V114" s="7"/>
    </row>
    <row r="115" spans="2:22" hidden="1" x14ac:dyDescent="0.2">
      <c r="B115" s="10" t="s">
        <v>611</v>
      </c>
      <c r="C115" s="10" t="s">
        <v>261</v>
      </c>
      <c r="D115" s="10" t="s">
        <v>179</v>
      </c>
      <c r="E115" s="10" t="s">
        <v>612</v>
      </c>
      <c r="F115" s="10" t="s">
        <v>163</v>
      </c>
      <c r="G115" s="10" t="s">
        <v>340</v>
      </c>
      <c r="H115" s="10" t="s">
        <v>181</v>
      </c>
      <c r="I115" s="10" t="s">
        <v>154</v>
      </c>
      <c r="J115" s="20">
        <v>100</v>
      </c>
      <c r="K115" s="21">
        <v>4215000</v>
      </c>
      <c r="L115" s="21">
        <v>4215000</v>
      </c>
      <c r="M115" s="10" t="s">
        <v>165</v>
      </c>
      <c r="N115" s="10" t="s">
        <v>204</v>
      </c>
      <c r="O115" s="10" t="s">
        <v>132</v>
      </c>
      <c r="P115" s="10" t="s">
        <v>401</v>
      </c>
      <c r="Q115" s="10" t="s">
        <v>613</v>
      </c>
      <c r="R115" s="10">
        <v>14</v>
      </c>
      <c r="S115" s="10" t="s">
        <v>614</v>
      </c>
      <c r="T115" s="21">
        <v>132400</v>
      </c>
      <c r="U115" s="10" t="s">
        <v>187</v>
      </c>
      <c r="V115" s="10"/>
    </row>
    <row r="116" spans="2:22" x14ac:dyDescent="0.2">
      <c r="B116" s="7" t="s">
        <v>615</v>
      </c>
      <c r="C116" s="7" t="s">
        <v>328</v>
      </c>
      <c r="D116" s="7" t="s">
        <v>248</v>
      </c>
      <c r="E116" s="7" t="s">
        <v>616</v>
      </c>
      <c r="F116" s="7" t="s">
        <v>126</v>
      </c>
      <c r="G116" s="7" t="s">
        <v>127</v>
      </c>
      <c r="H116" s="7" t="s">
        <v>280</v>
      </c>
      <c r="I116" s="7" t="s">
        <v>214</v>
      </c>
      <c r="J116" s="17">
        <v>0</v>
      </c>
      <c r="K116" s="18">
        <v>51865000</v>
      </c>
      <c r="L116" s="18">
        <v>0</v>
      </c>
      <c r="M116" s="7" t="s">
        <v>203</v>
      </c>
      <c r="N116" s="7" t="s">
        <v>131</v>
      </c>
      <c r="O116" s="7" t="s">
        <v>183</v>
      </c>
      <c r="P116" s="7" t="s">
        <v>617</v>
      </c>
      <c r="Q116" s="7" t="s">
        <v>618</v>
      </c>
      <c r="R116" s="7">
        <v>213</v>
      </c>
      <c r="S116" s="7" t="s">
        <v>619</v>
      </c>
      <c r="T116" s="18">
        <v>2106400</v>
      </c>
      <c r="U116" s="19" t="s">
        <v>136</v>
      </c>
      <c r="V116" s="7"/>
    </row>
    <row r="117" spans="2:22" hidden="1" x14ac:dyDescent="0.2">
      <c r="B117" s="10" t="s">
        <v>620</v>
      </c>
      <c r="C117" s="10" t="s">
        <v>374</v>
      </c>
      <c r="D117" s="10" t="s">
        <v>240</v>
      </c>
      <c r="E117" s="10" t="s">
        <v>420</v>
      </c>
      <c r="F117" s="10" t="s">
        <v>141</v>
      </c>
      <c r="G117" s="10" t="s">
        <v>152</v>
      </c>
      <c r="H117" s="10" t="s">
        <v>181</v>
      </c>
      <c r="I117" s="10" t="s">
        <v>243</v>
      </c>
      <c r="J117" s="20">
        <v>60</v>
      </c>
      <c r="K117" s="21">
        <v>80717000</v>
      </c>
      <c r="L117" s="21">
        <v>48430000</v>
      </c>
      <c r="M117" s="10" t="s">
        <v>215</v>
      </c>
      <c r="N117" s="10" t="s">
        <v>194</v>
      </c>
      <c r="O117" s="10" t="s">
        <v>144</v>
      </c>
      <c r="P117" s="10" t="s">
        <v>405</v>
      </c>
      <c r="Q117" s="10" t="s">
        <v>621</v>
      </c>
      <c r="R117" s="10">
        <v>18</v>
      </c>
      <c r="S117" s="10" t="s">
        <v>251</v>
      </c>
      <c r="T117" s="21">
        <v>4701000</v>
      </c>
      <c r="U117" s="10" t="s">
        <v>187</v>
      </c>
      <c r="V117" s="10"/>
    </row>
    <row r="118" spans="2:22" x14ac:dyDescent="0.2">
      <c r="B118" s="7" t="s">
        <v>622</v>
      </c>
      <c r="C118" s="7" t="s">
        <v>200</v>
      </c>
      <c r="D118" s="7" t="s">
        <v>323</v>
      </c>
      <c r="E118" s="7" t="s">
        <v>623</v>
      </c>
      <c r="F118" s="7" t="s">
        <v>163</v>
      </c>
      <c r="G118" s="7" t="s">
        <v>242</v>
      </c>
      <c r="H118" s="7" t="s">
        <v>280</v>
      </c>
      <c r="I118" s="7" t="s">
        <v>214</v>
      </c>
      <c r="J118" s="17">
        <v>0</v>
      </c>
      <c r="K118" s="18">
        <v>9409000</v>
      </c>
      <c r="L118" s="18">
        <v>0</v>
      </c>
      <c r="M118" s="7" t="s">
        <v>203</v>
      </c>
      <c r="N118" s="7" t="s">
        <v>131</v>
      </c>
      <c r="O118" s="7" t="s">
        <v>144</v>
      </c>
      <c r="P118" s="7" t="s">
        <v>332</v>
      </c>
      <c r="Q118" s="7" t="s">
        <v>624</v>
      </c>
      <c r="R118" s="7">
        <v>163</v>
      </c>
      <c r="S118" s="7" t="s">
        <v>336</v>
      </c>
      <c r="T118" s="18">
        <v>260400</v>
      </c>
      <c r="U118" s="19" t="s">
        <v>136</v>
      </c>
      <c r="V118" s="7"/>
    </row>
    <row r="119" spans="2:22" x14ac:dyDescent="0.2">
      <c r="B119" s="10" t="s">
        <v>625</v>
      </c>
      <c r="C119" s="10" t="s">
        <v>123</v>
      </c>
      <c r="D119" s="10" t="s">
        <v>323</v>
      </c>
      <c r="E119" s="10" t="s">
        <v>626</v>
      </c>
      <c r="F119" s="10" t="s">
        <v>141</v>
      </c>
      <c r="G119" s="10" t="s">
        <v>152</v>
      </c>
      <c r="H119" s="10" t="s">
        <v>128</v>
      </c>
      <c r="I119" s="10" t="s">
        <v>243</v>
      </c>
      <c r="J119" s="20">
        <v>60</v>
      </c>
      <c r="K119" s="21">
        <v>14106000</v>
      </c>
      <c r="L119" s="21">
        <v>8464000</v>
      </c>
      <c r="M119" s="10" t="s">
        <v>130</v>
      </c>
      <c r="N119" s="10" t="s">
        <v>221</v>
      </c>
      <c r="O119" s="10" t="s">
        <v>132</v>
      </c>
      <c r="P119" s="10" t="s">
        <v>627</v>
      </c>
      <c r="Q119" s="10" t="s">
        <v>297</v>
      </c>
      <c r="R119" s="10">
        <v>225</v>
      </c>
      <c r="S119" s="10" t="s">
        <v>605</v>
      </c>
      <c r="T119" s="21">
        <v>554600</v>
      </c>
      <c r="U119" s="22" t="s">
        <v>136</v>
      </c>
      <c r="V119" s="10"/>
    </row>
    <row r="120" spans="2:22" x14ac:dyDescent="0.2">
      <c r="B120" s="7" t="s">
        <v>628</v>
      </c>
      <c r="C120" s="7" t="s">
        <v>123</v>
      </c>
      <c r="D120" s="7" t="s">
        <v>210</v>
      </c>
      <c r="E120" s="7" t="s">
        <v>449</v>
      </c>
      <c r="F120" s="7" t="s">
        <v>163</v>
      </c>
      <c r="G120" s="7" t="s">
        <v>263</v>
      </c>
      <c r="H120" s="7" t="s">
        <v>128</v>
      </c>
      <c r="I120" s="7" t="s">
        <v>214</v>
      </c>
      <c r="J120" s="17">
        <v>0</v>
      </c>
      <c r="K120" s="18">
        <v>57269000</v>
      </c>
      <c r="L120" s="18">
        <v>0</v>
      </c>
      <c r="M120" s="7" t="s">
        <v>165</v>
      </c>
      <c r="N120" s="7" t="s">
        <v>131</v>
      </c>
      <c r="O120" s="7" t="s">
        <v>144</v>
      </c>
      <c r="P120" s="7" t="s">
        <v>319</v>
      </c>
      <c r="Q120" s="7" t="s">
        <v>411</v>
      </c>
      <c r="R120" s="7">
        <v>100</v>
      </c>
      <c r="S120" s="7" t="s">
        <v>566</v>
      </c>
      <c r="T120" s="18">
        <v>4397800</v>
      </c>
      <c r="U120" s="19" t="s">
        <v>136</v>
      </c>
      <c r="V120" s="7"/>
    </row>
    <row r="121" spans="2:22" x14ac:dyDescent="0.2">
      <c r="B121" s="10" t="s">
        <v>629</v>
      </c>
      <c r="C121" s="10" t="s">
        <v>160</v>
      </c>
      <c r="D121" s="10" t="s">
        <v>227</v>
      </c>
      <c r="E121" s="10" t="s">
        <v>589</v>
      </c>
      <c r="F121" s="10" t="s">
        <v>163</v>
      </c>
      <c r="G121" s="10" t="s">
        <v>340</v>
      </c>
      <c r="H121" s="10" t="s">
        <v>280</v>
      </c>
      <c r="I121" s="10" t="s">
        <v>214</v>
      </c>
      <c r="J121" s="20">
        <v>0</v>
      </c>
      <c r="K121" s="21">
        <v>44363000</v>
      </c>
      <c r="L121" s="21">
        <v>0</v>
      </c>
      <c r="M121" s="10" t="s">
        <v>130</v>
      </c>
      <c r="N121" s="10" t="s">
        <v>155</v>
      </c>
      <c r="O121" s="10" t="s">
        <v>183</v>
      </c>
      <c r="P121" s="10" t="s">
        <v>630</v>
      </c>
      <c r="Q121" s="10" t="s">
        <v>349</v>
      </c>
      <c r="R121" s="10">
        <v>267</v>
      </c>
      <c r="S121" s="10" t="s">
        <v>552</v>
      </c>
      <c r="T121" s="21">
        <v>1488900</v>
      </c>
      <c r="U121" s="22" t="s">
        <v>136</v>
      </c>
      <c r="V121" s="10"/>
    </row>
    <row r="122" spans="2:22" hidden="1" x14ac:dyDescent="0.2">
      <c r="B122" s="7" t="s">
        <v>631</v>
      </c>
      <c r="C122" s="7" t="s">
        <v>149</v>
      </c>
      <c r="D122" s="7" t="s">
        <v>124</v>
      </c>
      <c r="E122" s="7" t="s">
        <v>525</v>
      </c>
      <c r="F122" s="7" t="s">
        <v>163</v>
      </c>
      <c r="G122" s="7" t="s">
        <v>263</v>
      </c>
      <c r="H122" s="7" t="s">
        <v>192</v>
      </c>
      <c r="I122" s="7" t="s">
        <v>202</v>
      </c>
      <c r="J122" s="17">
        <v>5</v>
      </c>
      <c r="K122" s="18">
        <v>60941000</v>
      </c>
      <c r="L122" s="18">
        <v>3047000</v>
      </c>
      <c r="M122" s="7" t="s">
        <v>174</v>
      </c>
      <c r="N122" s="7" t="s">
        <v>194</v>
      </c>
      <c r="O122" s="7" t="s">
        <v>132</v>
      </c>
      <c r="P122" s="7" t="s">
        <v>301</v>
      </c>
      <c r="Q122" s="7" t="s">
        <v>632</v>
      </c>
      <c r="R122" s="7">
        <v>60</v>
      </c>
      <c r="S122" s="7" t="s">
        <v>633</v>
      </c>
      <c r="T122" s="18">
        <v>2442600</v>
      </c>
      <c r="U122" s="7" t="s">
        <v>187</v>
      </c>
      <c r="V122" s="7"/>
    </row>
    <row r="123" spans="2:22" hidden="1" x14ac:dyDescent="0.2">
      <c r="B123" s="10" t="s">
        <v>634</v>
      </c>
      <c r="C123" s="10" t="s">
        <v>209</v>
      </c>
      <c r="D123" s="10" t="s">
        <v>139</v>
      </c>
      <c r="E123" s="10" t="s">
        <v>635</v>
      </c>
      <c r="F123" s="10" t="s">
        <v>163</v>
      </c>
      <c r="G123" s="10" t="s">
        <v>263</v>
      </c>
      <c r="H123" s="10" t="s">
        <v>153</v>
      </c>
      <c r="I123" s="10" t="s">
        <v>182</v>
      </c>
      <c r="J123" s="20">
        <v>15</v>
      </c>
      <c r="K123" s="21">
        <v>10578000</v>
      </c>
      <c r="L123" s="21">
        <v>1587000</v>
      </c>
      <c r="M123" s="10" t="s">
        <v>174</v>
      </c>
      <c r="N123" s="10" t="s">
        <v>194</v>
      </c>
      <c r="O123" s="10" t="s">
        <v>132</v>
      </c>
      <c r="P123" s="10" t="s">
        <v>636</v>
      </c>
      <c r="Q123" s="10" t="s">
        <v>276</v>
      </c>
      <c r="R123" s="10">
        <v>77</v>
      </c>
      <c r="S123" s="10" t="s">
        <v>637</v>
      </c>
      <c r="T123" s="21">
        <v>267500</v>
      </c>
      <c r="U123" s="10" t="s">
        <v>187</v>
      </c>
      <c r="V123" s="10"/>
    </row>
    <row r="124" spans="2:22" x14ac:dyDescent="0.2">
      <c r="B124" s="7" t="s">
        <v>638</v>
      </c>
      <c r="C124" s="7" t="s">
        <v>170</v>
      </c>
      <c r="D124" s="7" t="s">
        <v>210</v>
      </c>
      <c r="E124" s="7" t="s">
        <v>639</v>
      </c>
      <c r="F124" s="7" t="s">
        <v>163</v>
      </c>
      <c r="G124" s="7" t="s">
        <v>212</v>
      </c>
      <c r="H124" s="7" t="s">
        <v>280</v>
      </c>
      <c r="I124" s="7" t="s">
        <v>129</v>
      </c>
      <c r="J124" s="17">
        <v>35</v>
      </c>
      <c r="K124" s="18">
        <v>36572000</v>
      </c>
      <c r="L124" s="18">
        <v>12800000</v>
      </c>
      <c r="M124" s="7" t="s">
        <v>275</v>
      </c>
      <c r="N124" s="7" t="s">
        <v>194</v>
      </c>
      <c r="O124" s="7" t="s">
        <v>144</v>
      </c>
      <c r="P124" s="7" t="s">
        <v>640</v>
      </c>
      <c r="Q124" s="7" t="s">
        <v>637</v>
      </c>
      <c r="R124" s="7">
        <v>164</v>
      </c>
      <c r="S124" s="7" t="s">
        <v>577</v>
      </c>
      <c r="T124" s="18">
        <v>1519100</v>
      </c>
      <c r="U124" s="19" t="s">
        <v>136</v>
      </c>
      <c r="V124" s="7"/>
    </row>
    <row r="125" spans="2:22" x14ac:dyDescent="0.2">
      <c r="B125" s="10" t="s">
        <v>641</v>
      </c>
      <c r="C125" s="10" t="s">
        <v>226</v>
      </c>
      <c r="D125" s="10" t="s">
        <v>378</v>
      </c>
      <c r="E125" s="10" t="s">
        <v>642</v>
      </c>
      <c r="F125" s="10" t="s">
        <v>141</v>
      </c>
      <c r="G125" s="10" t="s">
        <v>127</v>
      </c>
      <c r="H125" s="10" t="s">
        <v>280</v>
      </c>
      <c r="I125" s="10" t="s">
        <v>154</v>
      </c>
      <c r="J125" s="20">
        <v>100</v>
      </c>
      <c r="K125" s="21">
        <v>74472000</v>
      </c>
      <c r="L125" s="21">
        <v>74472000</v>
      </c>
      <c r="M125" s="10" t="s">
        <v>130</v>
      </c>
      <c r="N125" s="10" t="s">
        <v>131</v>
      </c>
      <c r="O125" s="10" t="s">
        <v>144</v>
      </c>
      <c r="P125" s="10" t="s">
        <v>198</v>
      </c>
      <c r="Q125" s="10" t="s">
        <v>414</v>
      </c>
      <c r="R125" s="10">
        <v>208</v>
      </c>
      <c r="S125" s="10" t="s">
        <v>604</v>
      </c>
      <c r="T125" s="21">
        <v>2587000</v>
      </c>
      <c r="U125" s="22" t="s">
        <v>136</v>
      </c>
      <c r="V125" s="10"/>
    </row>
    <row r="126" spans="2:22" hidden="1" x14ac:dyDescent="0.2">
      <c r="B126" s="7" t="s">
        <v>643</v>
      </c>
      <c r="C126" s="7" t="s">
        <v>138</v>
      </c>
      <c r="D126" s="7" t="s">
        <v>323</v>
      </c>
      <c r="E126" s="7" t="s">
        <v>644</v>
      </c>
      <c r="F126" s="7" t="s">
        <v>141</v>
      </c>
      <c r="G126" s="7" t="s">
        <v>212</v>
      </c>
      <c r="H126" s="7" t="s">
        <v>153</v>
      </c>
      <c r="I126" s="7" t="s">
        <v>129</v>
      </c>
      <c r="J126" s="17">
        <v>35</v>
      </c>
      <c r="K126" s="18">
        <v>34559000</v>
      </c>
      <c r="L126" s="18">
        <v>12096000</v>
      </c>
      <c r="M126" s="7" t="s">
        <v>174</v>
      </c>
      <c r="N126" s="7" t="s">
        <v>155</v>
      </c>
      <c r="O126" s="7" t="s">
        <v>183</v>
      </c>
      <c r="P126" s="7" t="s">
        <v>633</v>
      </c>
      <c r="Q126" s="7" t="s">
        <v>422</v>
      </c>
      <c r="R126" s="7">
        <v>36</v>
      </c>
      <c r="S126" s="7" t="s">
        <v>216</v>
      </c>
      <c r="T126" s="18">
        <v>1670700</v>
      </c>
      <c r="U126" s="7" t="s">
        <v>187</v>
      </c>
      <c r="V126" s="7"/>
    </row>
    <row r="127" spans="2:22" hidden="1" x14ac:dyDescent="0.2">
      <c r="B127" s="10" t="s">
        <v>645</v>
      </c>
      <c r="C127" s="10" t="s">
        <v>322</v>
      </c>
      <c r="D127" s="10" t="s">
        <v>190</v>
      </c>
      <c r="E127" s="10" t="s">
        <v>296</v>
      </c>
      <c r="F127" s="10" t="s">
        <v>163</v>
      </c>
      <c r="G127" s="10" t="s">
        <v>242</v>
      </c>
      <c r="H127" s="10" t="s">
        <v>153</v>
      </c>
      <c r="I127" s="10" t="s">
        <v>243</v>
      </c>
      <c r="J127" s="20">
        <v>60</v>
      </c>
      <c r="K127" s="21">
        <v>74417000</v>
      </c>
      <c r="L127" s="21">
        <v>44650000</v>
      </c>
      <c r="M127" s="10" t="s">
        <v>275</v>
      </c>
      <c r="N127" s="10" t="s">
        <v>131</v>
      </c>
      <c r="O127" s="10" t="s">
        <v>144</v>
      </c>
      <c r="P127" s="10" t="s">
        <v>477</v>
      </c>
      <c r="Q127" s="10" t="s">
        <v>646</v>
      </c>
      <c r="R127" s="10">
        <v>25</v>
      </c>
      <c r="S127" s="10" t="s">
        <v>288</v>
      </c>
      <c r="T127" s="21">
        <v>1855300</v>
      </c>
      <c r="U127" s="10" t="s">
        <v>187</v>
      </c>
      <c r="V127" s="10"/>
    </row>
    <row r="128" spans="2:22" x14ac:dyDescent="0.2">
      <c r="B128" s="7" t="s">
        <v>647</v>
      </c>
      <c r="C128" s="7" t="s">
        <v>328</v>
      </c>
      <c r="D128" s="7" t="s">
        <v>273</v>
      </c>
      <c r="E128" s="7" t="s">
        <v>648</v>
      </c>
      <c r="F128" s="7" t="s">
        <v>141</v>
      </c>
      <c r="G128" s="7" t="s">
        <v>242</v>
      </c>
      <c r="H128" s="7" t="s">
        <v>164</v>
      </c>
      <c r="I128" s="7" t="s">
        <v>202</v>
      </c>
      <c r="J128" s="17">
        <v>5</v>
      </c>
      <c r="K128" s="18">
        <v>9476000</v>
      </c>
      <c r="L128" s="18">
        <v>474000</v>
      </c>
      <c r="M128" s="7" t="s">
        <v>275</v>
      </c>
      <c r="N128" s="7" t="s">
        <v>194</v>
      </c>
      <c r="O128" s="7" t="s">
        <v>195</v>
      </c>
      <c r="P128" s="7" t="s">
        <v>649</v>
      </c>
      <c r="Q128" s="7" t="s">
        <v>156</v>
      </c>
      <c r="R128" s="7">
        <v>223</v>
      </c>
      <c r="S128" s="7" t="s">
        <v>508</v>
      </c>
      <c r="T128" s="18">
        <v>248800</v>
      </c>
      <c r="U128" s="19" t="s">
        <v>136</v>
      </c>
      <c r="V128" s="7"/>
    </row>
    <row r="129" spans="2:22" x14ac:dyDescent="0.2">
      <c r="B129" s="10" t="s">
        <v>650</v>
      </c>
      <c r="C129" s="10" t="s">
        <v>322</v>
      </c>
      <c r="D129" s="10" t="s">
        <v>139</v>
      </c>
      <c r="E129" s="10" t="s">
        <v>413</v>
      </c>
      <c r="F129" s="10" t="s">
        <v>141</v>
      </c>
      <c r="G129" s="10" t="s">
        <v>152</v>
      </c>
      <c r="H129" s="10" t="s">
        <v>164</v>
      </c>
      <c r="I129" s="10" t="s">
        <v>129</v>
      </c>
      <c r="J129" s="20">
        <v>35</v>
      </c>
      <c r="K129" s="21">
        <v>28600000</v>
      </c>
      <c r="L129" s="21">
        <v>10010000</v>
      </c>
      <c r="M129" s="10" t="s">
        <v>130</v>
      </c>
      <c r="N129" s="10" t="s">
        <v>221</v>
      </c>
      <c r="O129" s="10" t="s">
        <v>144</v>
      </c>
      <c r="P129" s="10" t="s">
        <v>335</v>
      </c>
      <c r="Q129" s="10" t="s">
        <v>520</v>
      </c>
      <c r="R129" s="10">
        <v>242</v>
      </c>
      <c r="S129" s="10" t="s">
        <v>355</v>
      </c>
      <c r="T129" s="21">
        <v>1690400</v>
      </c>
      <c r="U129" s="22" t="s">
        <v>136</v>
      </c>
      <c r="V129" s="10"/>
    </row>
    <row r="130" spans="2:22" hidden="1" x14ac:dyDescent="0.2">
      <c r="B130" s="7" t="s">
        <v>651</v>
      </c>
      <c r="C130" s="7" t="s">
        <v>239</v>
      </c>
      <c r="D130" s="7" t="s">
        <v>248</v>
      </c>
      <c r="E130" s="7" t="s">
        <v>515</v>
      </c>
      <c r="F130" s="7" t="s">
        <v>126</v>
      </c>
      <c r="G130" s="7" t="s">
        <v>340</v>
      </c>
      <c r="H130" s="7" t="s">
        <v>280</v>
      </c>
      <c r="I130" s="7" t="s">
        <v>129</v>
      </c>
      <c r="J130" s="17">
        <v>35</v>
      </c>
      <c r="K130" s="18">
        <v>20342000</v>
      </c>
      <c r="L130" s="18">
        <v>7120000</v>
      </c>
      <c r="M130" s="7" t="s">
        <v>203</v>
      </c>
      <c r="N130" s="7" t="s">
        <v>204</v>
      </c>
      <c r="O130" s="7" t="s">
        <v>144</v>
      </c>
      <c r="P130" s="7" t="s">
        <v>184</v>
      </c>
      <c r="Q130" s="7" t="s">
        <v>652</v>
      </c>
      <c r="R130" s="7">
        <v>58</v>
      </c>
      <c r="S130" s="7" t="s">
        <v>372</v>
      </c>
      <c r="T130" s="18">
        <v>1263200</v>
      </c>
      <c r="U130" s="7" t="s">
        <v>187</v>
      </c>
      <c r="V130" s="7"/>
    </row>
    <row r="131" spans="2:22" x14ac:dyDescent="0.2">
      <c r="B131" s="10" t="s">
        <v>653</v>
      </c>
      <c r="C131" s="10" t="s">
        <v>272</v>
      </c>
      <c r="D131" s="10" t="s">
        <v>139</v>
      </c>
      <c r="E131" s="10" t="s">
        <v>360</v>
      </c>
      <c r="F131" s="10" t="s">
        <v>141</v>
      </c>
      <c r="G131" s="10" t="s">
        <v>340</v>
      </c>
      <c r="H131" s="10" t="s">
        <v>142</v>
      </c>
      <c r="I131" s="10" t="s">
        <v>202</v>
      </c>
      <c r="J131" s="20">
        <v>5</v>
      </c>
      <c r="K131" s="21">
        <v>15822000</v>
      </c>
      <c r="L131" s="21">
        <v>791000</v>
      </c>
      <c r="M131" s="10" t="s">
        <v>165</v>
      </c>
      <c r="N131" s="10" t="s">
        <v>194</v>
      </c>
      <c r="O131" s="10" t="s">
        <v>195</v>
      </c>
      <c r="P131" s="10" t="s">
        <v>604</v>
      </c>
      <c r="Q131" s="10" t="s">
        <v>654</v>
      </c>
      <c r="R131" s="10">
        <v>199</v>
      </c>
      <c r="S131" s="10" t="s">
        <v>655</v>
      </c>
      <c r="T131" s="21">
        <v>471600</v>
      </c>
      <c r="U131" s="22" t="s">
        <v>136</v>
      </c>
      <c r="V131" s="10"/>
    </row>
    <row r="132" spans="2:22" x14ac:dyDescent="0.2">
      <c r="B132" s="7" t="s">
        <v>656</v>
      </c>
      <c r="C132" s="7" t="s">
        <v>123</v>
      </c>
      <c r="D132" s="7" t="s">
        <v>378</v>
      </c>
      <c r="E132" s="7" t="s">
        <v>657</v>
      </c>
      <c r="F132" s="7" t="s">
        <v>163</v>
      </c>
      <c r="G132" s="7" t="s">
        <v>242</v>
      </c>
      <c r="H132" s="7" t="s">
        <v>128</v>
      </c>
      <c r="I132" s="7" t="s">
        <v>214</v>
      </c>
      <c r="J132" s="17">
        <v>0</v>
      </c>
      <c r="K132" s="18">
        <v>77407000</v>
      </c>
      <c r="L132" s="18">
        <v>0</v>
      </c>
      <c r="M132" s="7" t="s">
        <v>275</v>
      </c>
      <c r="N132" s="7" t="s">
        <v>204</v>
      </c>
      <c r="O132" s="7" t="s">
        <v>144</v>
      </c>
      <c r="P132" s="7" t="s">
        <v>532</v>
      </c>
      <c r="Q132" s="7" t="s">
        <v>537</v>
      </c>
      <c r="R132" s="7">
        <v>200</v>
      </c>
      <c r="S132" s="7" t="s">
        <v>135</v>
      </c>
      <c r="T132" s="18">
        <v>3724000</v>
      </c>
      <c r="U132" s="19" t="s">
        <v>136</v>
      </c>
      <c r="V132" s="7"/>
    </row>
    <row r="133" spans="2:22" hidden="1" x14ac:dyDescent="0.2">
      <c r="B133" s="10" t="s">
        <v>658</v>
      </c>
      <c r="C133" s="10" t="s">
        <v>189</v>
      </c>
      <c r="D133" s="10" t="s">
        <v>248</v>
      </c>
      <c r="E133" s="10" t="s">
        <v>659</v>
      </c>
      <c r="F133" s="10" t="s">
        <v>141</v>
      </c>
      <c r="G133" s="10" t="s">
        <v>256</v>
      </c>
      <c r="H133" s="10" t="s">
        <v>153</v>
      </c>
      <c r="I133" s="10" t="s">
        <v>182</v>
      </c>
      <c r="J133" s="20">
        <v>15</v>
      </c>
      <c r="K133" s="21">
        <v>61794000</v>
      </c>
      <c r="L133" s="21">
        <v>9269000</v>
      </c>
      <c r="M133" s="10" t="s">
        <v>234</v>
      </c>
      <c r="N133" s="10" t="s">
        <v>131</v>
      </c>
      <c r="O133" s="10" t="s">
        <v>132</v>
      </c>
      <c r="P133" s="10" t="s">
        <v>398</v>
      </c>
      <c r="Q133" s="10" t="s">
        <v>479</v>
      </c>
      <c r="R133" s="10">
        <v>21</v>
      </c>
      <c r="S133" s="10" t="s">
        <v>366</v>
      </c>
      <c r="T133" s="21">
        <v>1711000</v>
      </c>
      <c r="U133" s="10" t="s">
        <v>187</v>
      </c>
      <c r="V133" s="10"/>
    </row>
    <row r="134" spans="2:22" hidden="1" x14ac:dyDescent="0.2">
      <c r="B134" s="7" t="s">
        <v>660</v>
      </c>
      <c r="C134" s="7" t="s">
        <v>189</v>
      </c>
      <c r="D134" s="7" t="s">
        <v>240</v>
      </c>
      <c r="E134" s="7" t="s">
        <v>525</v>
      </c>
      <c r="F134" s="7" t="s">
        <v>233</v>
      </c>
      <c r="G134" s="7" t="s">
        <v>340</v>
      </c>
      <c r="H134" s="7" t="s">
        <v>153</v>
      </c>
      <c r="I134" s="7" t="s">
        <v>202</v>
      </c>
      <c r="J134" s="17">
        <v>5</v>
      </c>
      <c r="K134" s="18">
        <v>49954000</v>
      </c>
      <c r="L134" s="18">
        <v>2498000</v>
      </c>
      <c r="M134" s="7" t="s">
        <v>130</v>
      </c>
      <c r="N134" s="7" t="s">
        <v>155</v>
      </c>
      <c r="O134" s="7" t="s">
        <v>183</v>
      </c>
      <c r="P134" s="7" t="s">
        <v>661</v>
      </c>
      <c r="Q134" s="7" t="s">
        <v>662</v>
      </c>
      <c r="R134" s="7">
        <v>72</v>
      </c>
      <c r="S134" s="7" t="s">
        <v>460</v>
      </c>
      <c r="T134" s="18">
        <v>3927100</v>
      </c>
      <c r="U134" s="7" t="s">
        <v>187</v>
      </c>
      <c r="V134" s="7"/>
    </row>
    <row r="135" spans="2:22" x14ac:dyDescent="0.2">
      <c r="B135" s="10" t="s">
        <v>663</v>
      </c>
      <c r="C135" s="10" t="s">
        <v>374</v>
      </c>
      <c r="D135" s="10" t="s">
        <v>150</v>
      </c>
      <c r="E135" s="10" t="s">
        <v>529</v>
      </c>
      <c r="F135" s="10" t="s">
        <v>233</v>
      </c>
      <c r="G135" s="10" t="s">
        <v>263</v>
      </c>
      <c r="H135" s="10" t="s">
        <v>213</v>
      </c>
      <c r="I135" s="10" t="s">
        <v>129</v>
      </c>
      <c r="J135" s="20">
        <v>35</v>
      </c>
      <c r="K135" s="21">
        <v>33003000</v>
      </c>
      <c r="L135" s="21">
        <v>11551000</v>
      </c>
      <c r="M135" s="10" t="s">
        <v>143</v>
      </c>
      <c r="N135" s="10" t="s">
        <v>194</v>
      </c>
      <c r="O135" s="10" t="s">
        <v>195</v>
      </c>
      <c r="P135" s="10" t="s">
        <v>147</v>
      </c>
      <c r="Q135" s="10" t="s">
        <v>277</v>
      </c>
      <c r="R135" s="10">
        <v>195</v>
      </c>
      <c r="S135" s="10" t="s">
        <v>664</v>
      </c>
      <c r="T135" s="21">
        <v>1237400</v>
      </c>
      <c r="U135" s="22" t="s">
        <v>136</v>
      </c>
      <c r="V135" s="10"/>
    </row>
    <row r="136" spans="2:22" hidden="1" x14ac:dyDescent="0.2">
      <c r="B136" s="7" t="s">
        <v>665</v>
      </c>
      <c r="C136" s="7" t="s">
        <v>345</v>
      </c>
      <c r="D136" s="7" t="s">
        <v>161</v>
      </c>
      <c r="E136" s="7" t="s">
        <v>576</v>
      </c>
      <c r="F136" s="7" t="s">
        <v>141</v>
      </c>
      <c r="G136" s="7" t="s">
        <v>340</v>
      </c>
      <c r="H136" s="7" t="s">
        <v>213</v>
      </c>
      <c r="I136" s="7" t="s">
        <v>202</v>
      </c>
      <c r="J136" s="17">
        <v>5</v>
      </c>
      <c r="K136" s="18">
        <v>38199000</v>
      </c>
      <c r="L136" s="18">
        <v>1910000</v>
      </c>
      <c r="M136" s="7" t="s">
        <v>143</v>
      </c>
      <c r="N136" s="7" t="s">
        <v>204</v>
      </c>
      <c r="O136" s="7" t="s">
        <v>183</v>
      </c>
      <c r="P136" s="7" t="s">
        <v>666</v>
      </c>
      <c r="Q136" s="7" t="s">
        <v>479</v>
      </c>
      <c r="R136" s="7">
        <v>68</v>
      </c>
      <c r="S136" s="7" t="s">
        <v>244</v>
      </c>
      <c r="T136" s="18">
        <v>2058700</v>
      </c>
      <c r="U136" s="7" t="s">
        <v>187</v>
      </c>
      <c r="V136" s="7"/>
    </row>
    <row r="137" spans="2:22" hidden="1" x14ac:dyDescent="0.2">
      <c r="B137" s="10" t="s">
        <v>667</v>
      </c>
      <c r="C137" s="10" t="s">
        <v>307</v>
      </c>
      <c r="D137" s="10" t="s">
        <v>179</v>
      </c>
      <c r="E137" s="10" t="s">
        <v>648</v>
      </c>
      <c r="F137" s="10" t="s">
        <v>268</v>
      </c>
      <c r="G137" s="10" t="s">
        <v>212</v>
      </c>
      <c r="H137" s="10" t="s">
        <v>164</v>
      </c>
      <c r="I137" s="10" t="s">
        <v>202</v>
      </c>
      <c r="J137" s="20">
        <v>5</v>
      </c>
      <c r="K137" s="21">
        <v>40652000</v>
      </c>
      <c r="L137" s="21">
        <v>2033000</v>
      </c>
      <c r="M137" s="10" t="s">
        <v>275</v>
      </c>
      <c r="N137" s="10" t="s">
        <v>309</v>
      </c>
      <c r="O137" s="10" t="s">
        <v>195</v>
      </c>
      <c r="P137" s="10" t="s">
        <v>668</v>
      </c>
      <c r="Q137" s="10" t="s">
        <v>269</v>
      </c>
      <c r="R137" s="10">
        <v>88</v>
      </c>
      <c r="S137" s="10" t="s">
        <v>597</v>
      </c>
      <c r="T137" s="21">
        <v>1210100</v>
      </c>
      <c r="U137" s="10" t="s">
        <v>187</v>
      </c>
      <c r="V137" s="10"/>
    </row>
    <row r="138" spans="2:22" x14ac:dyDescent="0.2">
      <c r="B138" s="7" t="s">
        <v>669</v>
      </c>
      <c r="C138" s="7" t="s">
        <v>160</v>
      </c>
      <c r="D138" s="7" t="s">
        <v>210</v>
      </c>
      <c r="E138" s="7" t="s">
        <v>548</v>
      </c>
      <c r="F138" s="7" t="s">
        <v>126</v>
      </c>
      <c r="G138" s="7" t="s">
        <v>127</v>
      </c>
      <c r="H138" s="7" t="s">
        <v>128</v>
      </c>
      <c r="I138" s="7" t="s">
        <v>202</v>
      </c>
      <c r="J138" s="17">
        <v>5</v>
      </c>
      <c r="K138" s="18">
        <v>35648000</v>
      </c>
      <c r="L138" s="18">
        <v>1782000</v>
      </c>
      <c r="M138" s="7" t="s">
        <v>215</v>
      </c>
      <c r="N138" s="7" t="s">
        <v>194</v>
      </c>
      <c r="O138" s="7" t="s">
        <v>195</v>
      </c>
      <c r="P138" s="7" t="s">
        <v>541</v>
      </c>
      <c r="Q138" s="7" t="s">
        <v>361</v>
      </c>
      <c r="R138" s="7">
        <v>259</v>
      </c>
      <c r="S138" s="7" t="s">
        <v>670</v>
      </c>
      <c r="T138" s="18">
        <v>1354100</v>
      </c>
      <c r="U138" s="19" t="s">
        <v>136</v>
      </c>
      <c r="V138" s="7"/>
    </row>
    <row r="139" spans="2:22" x14ac:dyDescent="0.2">
      <c r="B139" s="10" t="s">
        <v>671</v>
      </c>
      <c r="C139" s="10" t="s">
        <v>295</v>
      </c>
      <c r="D139" s="10" t="s">
        <v>179</v>
      </c>
      <c r="E139" s="10" t="s">
        <v>672</v>
      </c>
      <c r="F139" s="10" t="s">
        <v>141</v>
      </c>
      <c r="G139" s="10" t="s">
        <v>212</v>
      </c>
      <c r="H139" s="10" t="s">
        <v>280</v>
      </c>
      <c r="I139" s="10" t="s">
        <v>154</v>
      </c>
      <c r="J139" s="20">
        <v>100</v>
      </c>
      <c r="K139" s="21">
        <v>57739000</v>
      </c>
      <c r="L139" s="21">
        <v>57739000</v>
      </c>
      <c r="M139" s="10" t="s">
        <v>130</v>
      </c>
      <c r="N139" s="10" t="s">
        <v>194</v>
      </c>
      <c r="O139" s="10" t="s">
        <v>183</v>
      </c>
      <c r="P139" s="10" t="s">
        <v>175</v>
      </c>
      <c r="Q139" s="10" t="s">
        <v>664</v>
      </c>
      <c r="R139" s="10">
        <v>247</v>
      </c>
      <c r="S139" s="10" t="s">
        <v>318</v>
      </c>
      <c r="T139" s="21">
        <v>2385700</v>
      </c>
      <c r="U139" s="22" t="s">
        <v>136</v>
      </c>
      <c r="V139" s="10"/>
    </row>
    <row r="140" spans="2:22" x14ac:dyDescent="0.2">
      <c r="B140" s="7" t="s">
        <v>673</v>
      </c>
      <c r="C140" s="7" t="s">
        <v>123</v>
      </c>
      <c r="D140" s="7" t="s">
        <v>161</v>
      </c>
      <c r="E140" s="7" t="s">
        <v>644</v>
      </c>
      <c r="F140" s="7" t="s">
        <v>163</v>
      </c>
      <c r="G140" s="7" t="s">
        <v>263</v>
      </c>
      <c r="H140" s="7" t="s">
        <v>192</v>
      </c>
      <c r="I140" s="7" t="s">
        <v>154</v>
      </c>
      <c r="J140" s="17">
        <v>100</v>
      </c>
      <c r="K140" s="18">
        <v>45972000</v>
      </c>
      <c r="L140" s="18">
        <v>45972000</v>
      </c>
      <c r="M140" s="7" t="s">
        <v>203</v>
      </c>
      <c r="N140" s="7" t="s">
        <v>131</v>
      </c>
      <c r="O140" s="7" t="s">
        <v>183</v>
      </c>
      <c r="P140" s="7" t="s">
        <v>618</v>
      </c>
      <c r="Q140" s="7" t="s">
        <v>633</v>
      </c>
      <c r="R140" s="7">
        <v>182</v>
      </c>
      <c r="S140" s="7" t="s">
        <v>156</v>
      </c>
      <c r="T140" s="18">
        <v>1014600</v>
      </c>
      <c r="U140" s="19" t="s">
        <v>136</v>
      </c>
      <c r="V140" s="7"/>
    </row>
    <row r="141" spans="2:22" x14ac:dyDescent="0.2">
      <c r="B141" s="10" t="s">
        <v>674</v>
      </c>
      <c r="C141" s="10" t="s">
        <v>189</v>
      </c>
      <c r="D141" s="10" t="s">
        <v>227</v>
      </c>
      <c r="E141" s="10" t="s">
        <v>675</v>
      </c>
      <c r="F141" s="10" t="s">
        <v>141</v>
      </c>
      <c r="G141" s="10" t="s">
        <v>212</v>
      </c>
      <c r="H141" s="10" t="s">
        <v>153</v>
      </c>
      <c r="I141" s="10" t="s">
        <v>243</v>
      </c>
      <c r="J141" s="20">
        <v>60</v>
      </c>
      <c r="K141" s="21">
        <v>66859000</v>
      </c>
      <c r="L141" s="21">
        <v>40115000</v>
      </c>
      <c r="M141" s="10" t="s">
        <v>215</v>
      </c>
      <c r="N141" s="10" t="s">
        <v>204</v>
      </c>
      <c r="O141" s="10" t="s">
        <v>183</v>
      </c>
      <c r="P141" s="10" t="s">
        <v>229</v>
      </c>
      <c r="Q141" s="10" t="s">
        <v>600</v>
      </c>
      <c r="R141" s="10">
        <v>128</v>
      </c>
      <c r="S141" s="10" t="s">
        <v>409</v>
      </c>
      <c r="T141" s="21">
        <v>3607200</v>
      </c>
      <c r="U141" s="22" t="s">
        <v>136</v>
      </c>
      <c r="V141" s="10"/>
    </row>
    <row r="142" spans="2:22" x14ac:dyDescent="0.2">
      <c r="B142" s="7" t="s">
        <v>676</v>
      </c>
      <c r="C142" s="7" t="s">
        <v>226</v>
      </c>
      <c r="D142" s="7" t="s">
        <v>190</v>
      </c>
      <c r="E142" s="7" t="s">
        <v>296</v>
      </c>
      <c r="F142" s="7" t="s">
        <v>141</v>
      </c>
      <c r="G142" s="7" t="s">
        <v>340</v>
      </c>
      <c r="H142" s="7" t="s">
        <v>128</v>
      </c>
      <c r="I142" s="7" t="s">
        <v>129</v>
      </c>
      <c r="J142" s="17">
        <v>35</v>
      </c>
      <c r="K142" s="18">
        <v>60321000</v>
      </c>
      <c r="L142" s="18">
        <v>21112000</v>
      </c>
      <c r="M142" s="7" t="s">
        <v>143</v>
      </c>
      <c r="N142" s="7" t="s">
        <v>155</v>
      </c>
      <c r="O142" s="7" t="s">
        <v>195</v>
      </c>
      <c r="P142" s="7" t="s">
        <v>670</v>
      </c>
      <c r="Q142" s="7" t="s">
        <v>532</v>
      </c>
      <c r="R142" s="7">
        <v>251</v>
      </c>
      <c r="S142" s="7" t="s">
        <v>532</v>
      </c>
      <c r="T142" s="18">
        <v>1297200</v>
      </c>
      <c r="U142" s="19" t="s">
        <v>136</v>
      </c>
      <c r="V142" s="7"/>
    </row>
    <row r="143" spans="2:22" x14ac:dyDescent="0.2">
      <c r="B143" s="10" t="s">
        <v>677</v>
      </c>
      <c r="C143" s="10" t="s">
        <v>328</v>
      </c>
      <c r="D143" s="10" t="s">
        <v>124</v>
      </c>
      <c r="E143" s="10" t="s">
        <v>602</v>
      </c>
      <c r="F143" s="10" t="s">
        <v>163</v>
      </c>
      <c r="G143" s="10" t="s">
        <v>242</v>
      </c>
      <c r="H143" s="10" t="s">
        <v>280</v>
      </c>
      <c r="I143" s="10" t="s">
        <v>129</v>
      </c>
      <c r="J143" s="20">
        <v>35</v>
      </c>
      <c r="K143" s="21">
        <v>33309000</v>
      </c>
      <c r="L143" s="21">
        <v>11658000</v>
      </c>
      <c r="M143" s="10" t="s">
        <v>234</v>
      </c>
      <c r="N143" s="10" t="s">
        <v>131</v>
      </c>
      <c r="O143" s="10" t="s">
        <v>132</v>
      </c>
      <c r="P143" s="10" t="s">
        <v>537</v>
      </c>
      <c r="Q143" s="10" t="s">
        <v>277</v>
      </c>
      <c r="R143" s="10">
        <v>104</v>
      </c>
      <c r="S143" s="10" t="s">
        <v>397</v>
      </c>
      <c r="T143" s="21">
        <v>892000</v>
      </c>
      <c r="U143" s="22" t="s">
        <v>136</v>
      </c>
      <c r="V143" s="10"/>
    </row>
    <row r="144" spans="2:22" x14ac:dyDescent="0.2">
      <c r="B144" s="7" t="s">
        <v>678</v>
      </c>
      <c r="C144" s="7" t="s">
        <v>160</v>
      </c>
      <c r="D144" s="7" t="s">
        <v>273</v>
      </c>
      <c r="E144" s="7" t="s">
        <v>679</v>
      </c>
      <c r="F144" s="7" t="s">
        <v>268</v>
      </c>
      <c r="G144" s="7" t="s">
        <v>152</v>
      </c>
      <c r="H144" s="7" t="s">
        <v>128</v>
      </c>
      <c r="I144" s="7" t="s">
        <v>202</v>
      </c>
      <c r="J144" s="17">
        <v>5</v>
      </c>
      <c r="K144" s="18">
        <v>24564000</v>
      </c>
      <c r="L144" s="18">
        <v>1228000</v>
      </c>
      <c r="M144" s="7" t="s">
        <v>215</v>
      </c>
      <c r="N144" s="7" t="s">
        <v>194</v>
      </c>
      <c r="O144" s="7" t="s">
        <v>144</v>
      </c>
      <c r="P144" s="7" t="s">
        <v>167</v>
      </c>
      <c r="Q144" s="7" t="s">
        <v>566</v>
      </c>
      <c r="R144" s="7">
        <v>218</v>
      </c>
      <c r="S144" s="7" t="s">
        <v>680</v>
      </c>
      <c r="T144" s="18">
        <v>1223700</v>
      </c>
      <c r="U144" s="19" t="s">
        <v>136</v>
      </c>
      <c r="V144" s="7"/>
    </row>
    <row r="145" spans="2:22" hidden="1" x14ac:dyDescent="0.2">
      <c r="B145" s="10" t="s">
        <v>681</v>
      </c>
      <c r="C145" s="10" t="s">
        <v>374</v>
      </c>
      <c r="D145" s="10" t="s">
        <v>210</v>
      </c>
      <c r="E145" s="10" t="s">
        <v>308</v>
      </c>
      <c r="F145" s="10" t="s">
        <v>141</v>
      </c>
      <c r="G145" s="10" t="s">
        <v>212</v>
      </c>
      <c r="H145" s="10" t="s">
        <v>153</v>
      </c>
      <c r="I145" s="10" t="s">
        <v>193</v>
      </c>
      <c r="J145" s="20">
        <v>10</v>
      </c>
      <c r="K145" s="21">
        <v>37378000</v>
      </c>
      <c r="L145" s="21">
        <v>3738000</v>
      </c>
      <c r="M145" s="10" t="s">
        <v>165</v>
      </c>
      <c r="N145" s="10" t="s">
        <v>204</v>
      </c>
      <c r="O145" s="10" t="s">
        <v>195</v>
      </c>
      <c r="P145" s="10" t="s">
        <v>527</v>
      </c>
      <c r="Q145" s="10" t="s">
        <v>682</v>
      </c>
      <c r="R145" s="10">
        <v>53</v>
      </c>
      <c r="S145" s="10" t="s">
        <v>251</v>
      </c>
      <c r="T145" s="21">
        <v>1634500</v>
      </c>
      <c r="U145" s="10" t="s">
        <v>187</v>
      </c>
      <c r="V145" s="10"/>
    </row>
    <row r="146" spans="2:22" x14ac:dyDescent="0.2">
      <c r="B146" s="7" t="s">
        <v>683</v>
      </c>
      <c r="C146" s="7" t="s">
        <v>226</v>
      </c>
      <c r="D146" s="7" t="s">
        <v>150</v>
      </c>
      <c r="E146" s="7" t="s">
        <v>612</v>
      </c>
      <c r="F146" s="7" t="s">
        <v>163</v>
      </c>
      <c r="G146" s="7" t="s">
        <v>263</v>
      </c>
      <c r="H146" s="7" t="s">
        <v>192</v>
      </c>
      <c r="I146" s="7" t="s">
        <v>154</v>
      </c>
      <c r="J146" s="17">
        <v>100</v>
      </c>
      <c r="K146" s="18">
        <v>43815000</v>
      </c>
      <c r="L146" s="18">
        <v>43815000</v>
      </c>
      <c r="M146" s="7" t="s">
        <v>203</v>
      </c>
      <c r="N146" s="7" t="s">
        <v>204</v>
      </c>
      <c r="O146" s="7" t="s">
        <v>183</v>
      </c>
      <c r="P146" s="7" t="s">
        <v>609</v>
      </c>
      <c r="Q146" s="7" t="s">
        <v>563</v>
      </c>
      <c r="R146" s="7">
        <v>95</v>
      </c>
      <c r="S146" s="7" t="s">
        <v>291</v>
      </c>
      <c r="T146" s="18">
        <v>2534900</v>
      </c>
      <c r="U146" s="19" t="s">
        <v>136</v>
      </c>
      <c r="V146" s="7"/>
    </row>
    <row r="147" spans="2:22" x14ac:dyDescent="0.2">
      <c r="B147" s="10" t="s">
        <v>684</v>
      </c>
      <c r="C147" s="10" t="s">
        <v>345</v>
      </c>
      <c r="D147" s="10" t="s">
        <v>254</v>
      </c>
      <c r="E147" s="10" t="s">
        <v>290</v>
      </c>
      <c r="F147" s="10" t="s">
        <v>268</v>
      </c>
      <c r="G147" s="10" t="s">
        <v>263</v>
      </c>
      <c r="H147" s="10" t="s">
        <v>181</v>
      </c>
      <c r="I147" s="10" t="s">
        <v>129</v>
      </c>
      <c r="J147" s="20">
        <v>35</v>
      </c>
      <c r="K147" s="21">
        <v>68394000</v>
      </c>
      <c r="L147" s="21">
        <v>23938000</v>
      </c>
      <c r="M147" s="10" t="s">
        <v>275</v>
      </c>
      <c r="N147" s="10" t="s">
        <v>155</v>
      </c>
      <c r="O147" s="10" t="s">
        <v>144</v>
      </c>
      <c r="P147" s="10" t="s">
        <v>549</v>
      </c>
      <c r="Q147" s="10" t="s">
        <v>685</v>
      </c>
      <c r="R147" s="10">
        <v>105</v>
      </c>
      <c r="S147" s="10" t="s">
        <v>570</v>
      </c>
      <c r="T147" s="21">
        <v>4819100</v>
      </c>
      <c r="U147" s="22" t="s">
        <v>136</v>
      </c>
      <c r="V147" s="10"/>
    </row>
    <row r="148" spans="2:22" x14ac:dyDescent="0.2">
      <c r="B148" s="7" t="s">
        <v>686</v>
      </c>
      <c r="C148" s="7" t="s">
        <v>189</v>
      </c>
      <c r="D148" s="7" t="s">
        <v>254</v>
      </c>
      <c r="E148" s="7" t="s">
        <v>522</v>
      </c>
      <c r="F148" s="7" t="s">
        <v>268</v>
      </c>
      <c r="G148" s="7" t="s">
        <v>242</v>
      </c>
      <c r="H148" s="7" t="s">
        <v>280</v>
      </c>
      <c r="I148" s="7" t="s">
        <v>129</v>
      </c>
      <c r="J148" s="17">
        <v>35</v>
      </c>
      <c r="K148" s="18">
        <v>46494000</v>
      </c>
      <c r="L148" s="18">
        <v>16273000</v>
      </c>
      <c r="M148" s="7" t="s">
        <v>130</v>
      </c>
      <c r="N148" s="7" t="s">
        <v>131</v>
      </c>
      <c r="O148" s="7" t="s">
        <v>132</v>
      </c>
      <c r="P148" s="7" t="s">
        <v>687</v>
      </c>
      <c r="Q148" s="7" t="s">
        <v>237</v>
      </c>
      <c r="R148" s="7">
        <v>167</v>
      </c>
      <c r="S148" s="7" t="s">
        <v>156</v>
      </c>
      <c r="T148" s="18">
        <v>2693000</v>
      </c>
      <c r="U148" s="19" t="s">
        <v>136</v>
      </c>
      <c r="V148" s="7"/>
    </row>
    <row r="149" spans="2:22" x14ac:dyDescent="0.2">
      <c r="B149" s="10" t="s">
        <v>688</v>
      </c>
      <c r="C149" s="10" t="s">
        <v>149</v>
      </c>
      <c r="D149" s="10" t="s">
        <v>179</v>
      </c>
      <c r="E149" s="10" t="s">
        <v>689</v>
      </c>
      <c r="F149" s="10" t="s">
        <v>126</v>
      </c>
      <c r="G149" s="10" t="s">
        <v>242</v>
      </c>
      <c r="H149" s="10" t="s">
        <v>213</v>
      </c>
      <c r="I149" s="10" t="s">
        <v>202</v>
      </c>
      <c r="J149" s="20">
        <v>5</v>
      </c>
      <c r="K149" s="21">
        <v>72305000</v>
      </c>
      <c r="L149" s="21">
        <v>3615000</v>
      </c>
      <c r="M149" s="10" t="s">
        <v>215</v>
      </c>
      <c r="N149" s="10" t="s">
        <v>194</v>
      </c>
      <c r="O149" s="10" t="s">
        <v>144</v>
      </c>
      <c r="P149" s="10" t="s">
        <v>687</v>
      </c>
      <c r="Q149" s="10" t="s">
        <v>134</v>
      </c>
      <c r="R149" s="10">
        <v>167</v>
      </c>
      <c r="S149" s="10" t="s">
        <v>348</v>
      </c>
      <c r="T149" s="21">
        <v>2465900</v>
      </c>
      <c r="U149" s="22" t="s">
        <v>136</v>
      </c>
      <c r="V149" s="10"/>
    </row>
    <row r="150" spans="2:22" x14ac:dyDescent="0.2">
      <c r="B150" s="10" t="s">
        <v>219</v>
      </c>
      <c r="C150" s="10" t="s">
        <v>200</v>
      </c>
      <c r="D150" s="10" t="s">
        <v>150</v>
      </c>
      <c r="E150" s="10" t="s">
        <v>220</v>
      </c>
      <c r="F150" s="10" t="s">
        <v>141</v>
      </c>
      <c r="G150" s="10" t="s">
        <v>212</v>
      </c>
      <c r="H150" s="10" t="s">
        <v>128</v>
      </c>
      <c r="I150" s="10" t="s">
        <v>129</v>
      </c>
      <c r="J150" s="20">
        <v>35</v>
      </c>
      <c r="K150" s="21">
        <v>63582000</v>
      </c>
      <c r="L150" s="21">
        <v>22254000</v>
      </c>
      <c r="M150" s="10" t="s">
        <v>215</v>
      </c>
      <c r="N150" s="10" t="s">
        <v>221</v>
      </c>
      <c r="O150" s="10" t="s">
        <v>195</v>
      </c>
      <c r="P150" s="10" t="s">
        <v>222</v>
      </c>
      <c r="Q150" s="10" t="s">
        <v>223</v>
      </c>
      <c r="R150" s="10">
        <v>238</v>
      </c>
      <c r="S150" s="10" t="s">
        <v>224</v>
      </c>
      <c r="T150" s="21">
        <v>4817600</v>
      </c>
      <c r="U150" s="22" t="s">
        <v>136</v>
      </c>
      <c r="V150" s="10"/>
    </row>
    <row r="151" spans="2:22" x14ac:dyDescent="0.2">
      <c r="B151" s="10" t="s">
        <v>691</v>
      </c>
      <c r="C151" s="10" t="s">
        <v>170</v>
      </c>
      <c r="D151" s="10" t="s">
        <v>190</v>
      </c>
      <c r="E151" s="10" t="s">
        <v>692</v>
      </c>
      <c r="F151" s="10" t="s">
        <v>163</v>
      </c>
      <c r="G151" s="10" t="s">
        <v>127</v>
      </c>
      <c r="H151" s="10" t="s">
        <v>142</v>
      </c>
      <c r="I151" s="10" t="s">
        <v>182</v>
      </c>
      <c r="J151" s="20">
        <v>15</v>
      </c>
      <c r="K151" s="21">
        <v>12256000</v>
      </c>
      <c r="L151" s="21">
        <v>1838000</v>
      </c>
      <c r="M151" s="10" t="s">
        <v>174</v>
      </c>
      <c r="N151" s="10" t="s">
        <v>194</v>
      </c>
      <c r="O151" s="10" t="s">
        <v>132</v>
      </c>
      <c r="P151" s="10" t="s">
        <v>509</v>
      </c>
      <c r="Q151" s="10" t="s">
        <v>693</v>
      </c>
      <c r="R151" s="10">
        <v>170</v>
      </c>
      <c r="S151" s="10" t="s">
        <v>694</v>
      </c>
      <c r="T151" s="21">
        <v>270300</v>
      </c>
      <c r="U151" s="22" t="s">
        <v>136</v>
      </c>
      <c r="V151" s="10"/>
    </row>
  </sheetData>
  <autoFilter ref="B1:W151" xr:uid="{00000000-0001-0000-0200-000000000000}">
    <filterColumn colId="19">
      <filters>
        <filter val="Yes"/>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D24C-3F90-5541-93E5-42F1601C14BF}">
  <dimension ref="A1:V151"/>
  <sheetViews>
    <sheetView topLeftCell="Q1" zoomScale="139" zoomScaleNormal="250" workbookViewId="0">
      <selection activeCell="AC9" sqref="AC9"/>
    </sheetView>
  </sheetViews>
  <sheetFormatPr baseColWidth="10" defaultRowHeight="15" x14ac:dyDescent="0.2"/>
  <cols>
    <col min="1" max="1" width="14" customWidth="1"/>
    <col min="2" max="2" width="18" customWidth="1"/>
    <col min="4" max="4" width="15.83203125" bestFit="1" customWidth="1"/>
    <col min="5" max="5" width="12.1640625" bestFit="1" customWidth="1"/>
    <col min="21" max="22" width="12" bestFit="1" customWidth="1"/>
  </cols>
  <sheetData>
    <row r="1" spans="1:22" x14ac:dyDescent="0.2">
      <c r="A1" s="5" t="s">
        <v>108</v>
      </c>
      <c r="B1" s="5" t="s">
        <v>113</v>
      </c>
      <c r="D1" s="51" t="s">
        <v>795</v>
      </c>
      <c r="E1" t="s">
        <v>806</v>
      </c>
    </row>
    <row r="2" spans="1:22" x14ac:dyDescent="0.2">
      <c r="A2" s="7" t="s">
        <v>129</v>
      </c>
      <c r="B2" s="7" t="s">
        <v>131</v>
      </c>
      <c r="D2" s="50" t="s">
        <v>221</v>
      </c>
      <c r="E2">
        <v>16</v>
      </c>
      <c r="S2" s="23"/>
      <c r="T2" s="24"/>
      <c r="U2" s="28" t="s">
        <v>707</v>
      </c>
      <c r="V2" s="28" t="s">
        <v>708</v>
      </c>
    </row>
    <row r="3" spans="1:22" x14ac:dyDescent="0.2">
      <c r="A3" s="10" t="s">
        <v>129</v>
      </c>
      <c r="B3" s="10" t="s">
        <v>131</v>
      </c>
      <c r="D3" s="63" t="s">
        <v>154</v>
      </c>
      <c r="E3">
        <v>3</v>
      </c>
      <c r="U3" s="29">
        <v>367427000</v>
      </c>
      <c r="V3" s="30">
        <v>154927000</v>
      </c>
    </row>
    <row r="4" spans="1:22" x14ac:dyDescent="0.2">
      <c r="A4" s="7" t="s">
        <v>154</v>
      </c>
      <c r="B4" s="7" t="s">
        <v>155</v>
      </c>
      <c r="D4" s="63" t="s">
        <v>243</v>
      </c>
      <c r="E4">
        <v>4</v>
      </c>
      <c r="U4" s="32">
        <v>609653000</v>
      </c>
      <c r="V4" s="33">
        <v>397153000</v>
      </c>
    </row>
    <row r="5" spans="1:22" x14ac:dyDescent="0.2">
      <c r="A5" s="10" t="s">
        <v>129</v>
      </c>
      <c r="B5" s="10" t="s">
        <v>131</v>
      </c>
      <c r="D5" s="63" t="s">
        <v>193</v>
      </c>
      <c r="E5">
        <v>3</v>
      </c>
      <c r="U5" s="29">
        <v>581947000</v>
      </c>
      <c r="V5" s="30">
        <v>369447000</v>
      </c>
    </row>
    <row r="6" spans="1:22" x14ac:dyDescent="0.2">
      <c r="A6" s="7" t="s">
        <v>154</v>
      </c>
      <c r="B6" s="7" t="s">
        <v>131</v>
      </c>
      <c r="D6" s="63" t="s">
        <v>129</v>
      </c>
      <c r="E6">
        <v>5</v>
      </c>
      <c r="U6" s="32">
        <v>666126000</v>
      </c>
      <c r="V6" s="33">
        <v>453626000</v>
      </c>
    </row>
    <row r="7" spans="1:22" x14ac:dyDescent="0.2">
      <c r="A7" s="10" t="s">
        <v>182</v>
      </c>
      <c r="B7" s="10" t="s">
        <v>131</v>
      </c>
      <c r="D7" s="63" t="s">
        <v>182</v>
      </c>
      <c r="E7">
        <v>1</v>
      </c>
      <c r="U7" s="35">
        <f>SUM(U3:U6)</f>
        <v>2225153000</v>
      </c>
      <c r="V7" s="35">
        <f>SUM(V3:V6)</f>
        <v>1375153000</v>
      </c>
    </row>
    <row r="8" spans="1:22" x14ac:dyDescent="0.2">
      <c r="A8" s="7" t="s">
        <v>193</v>
      </c>
      <c r="B8" s="7" t="s">
        <v>194</v>
      </c>
      <c r="D8" s="50" t="s">
        <v>131</v>
      </c>
      <c r="E8">
        <v>47</v>
      </c>
    </row>
    <row r="9" spans="1:22" x14ac:dyDescent="0.2">
      <c r="A9" s="10" t="s">
        <v>202</v>
      </c>
      <c r="B9" s="10" t="s">
        <v>204</v>
      </c>
      <c r="D9" s="63" t="s">
        <v>214</v>
      </c>
      <c r="E9">
        <v>5</v>
      </c>
    </row>
    <row r="10" spans="1:22" x14ac:dyDescent="0.2">
      <c r="A10" s="7" t="s">
        <v>214</v>
      </c>
      <c r="B10" s="7" t="s">
        <v>131</v>
      </c>
      <c r="D10" s="63" t="s">
        <v>154</v>
      </c>
      <c r="E10">
        <v>8</v>
      </c>
    </row>
    <row r="11" spans="1:22" x14ac:dyDescent="0.2">
      <c r="A11" s="10" t="s">
        <v>129</v>
      </c>
      <c r="B11" s="10" t="s">
        <v>221</v>
      </c>
      <c r="D11" s="63" t="s">
        <v>243</v>
      </c>
      <c r="E11">
        <v>6</v>
      </c>
    </row>
    <row r="12" spans="1:22" x14ac:dyDescent="0.2">
      <c r="A12" s="7" t="s">
        <v>154</v>
      </c>
      <c r="B12" s="7" t="s">
        <v>204</v>
      </c>
      <c r="D12" s="63" t="s">
        <v>129</v>
      </c>
      <c r="E12">
        <v>12</v>
      </c>
    </row>
    <row r="13" spans="1:22" x14ac:dyDescent="0.2">
      <c r="A13" s="10" t="s">
        <v>202</v>
      </c>
      <c r="B13" s="10" t="s">
        <v>131</v>
      </c>
      <c r="D13" s="63" t="s">
        <v>202</v>
      </c>
      <c r="E13">
        <v>8</v>
      </c>
    </row>
    <row r="14" spans="1:22" x14ac:dyDescent="0.2">
      <c r="A14" s="7" t="s">
        <v>243</v>
      </c>
      <c r="B14" s="7" t="s">
        <v>131</v>
      </c>
      <c r="D14" s="63" t="s">
        <v>182</v>
      </c>
      <c r="E14">
        <v>8</v>
      </c>
    </row>
    <row r="15" spans="1:22" x14ac:dyDescent="0.2">
      <c r="A15" s="10" t="s">
        <v>129</v>
      </c>
      <c r="B15" s="10" t="s">
        <v>204</v>
      </c>
      <c r="D15" s="50" t="s">
        <v>155</v>
      </c>
      <c r="E15">
        <v>14</v>
      </c>
    </row>
    <row r="16" spans="1:22" x14ac:dyDescent="0.2">
      <c r="A16" s="7" t="s">
        <v>182</v>
      </c>
      <c r="B16" s="7" t="s">
        <v>194</v>
      </c>
      <c r="D16" s="63" t="s">
        <v>214</v>
      </c>
      <c r="E16">
        <v>2</v>
      </c>
    </row>
    <row r="17" spans="1:5" x14ac:dyDescent="0.2">
      <c r="A17" s="10" t="s">
        <v>214</v>
      </c>
      <c r="B17" s="10" t="s">
        <v>194</v>
      </c>
      <c r="D17" s="63" t="s">
        <v>154</v>
      </c>
      <c r="E17">
        <v>2</v>
      </c>
    </row>
    <row r="18" spans="1:5" x14ac:dyDescent="0.2">
      <c r="A18" s="7" t="s">
        <v>154</v>
      </c>
      <c r="B18" s="7" t="s">
        <v>131</v>
      </c>
      <c r="D18" s="63" t="s">
        <v>243</v>
      </c>
      <c r="E18">
        <v>5</v>
      </c>
    </row>
    <row r="19" spans="1:5" x14ac:dyDescent="0.2">
      <c r="A19" s="10" t="s">
        <v>243</v>
      </c>
      <c r="B19" s="10" t="s">
        <v>194</v>
      </c>
      <c r="D19" s="63" t="s">
        <v>129</v>
      </c>
      <c r="E19">
        <v>3</v>
      </c>
    </row>
    <row r="20" spans="1:5" x14ac:dyDescent="0.2">
      <c r="A20" s="7" t="s">
        <v>182</v>
      </c>
      <c r="B20" s="7" t="s">
        <v>204</v>
      </c>
      <c r="D20" s="63" t="s">
        <v>202</v>
      </c>
      <c r="E20">
        <v>1</v>
      </c>
    </row>
    <row r="21" spans="1:5" x14ac:dyDescent="0.2">
      <c r="A21" s="10" t="s">
        <v>129</v>
      </c>
      <c r="B21" s="10" t="s">
        <v>221</v>
      </c>
      <c r="D21" s="63" t="s">
        <v>182</v>
      </c>
      <c r="E21">
        <v>1</v>
      </c>
    </row>
    <row r="22" spans="1:5" x14ac:dyDescent="0.2">
      <c r="A22" s="7" t="s">
        <v>154</v>
      </c>
      <c r="B22" s="7" t="s">
        <v>194</v>
      </c>
      <c r="D22" s="50" t="s">
        <v>309</v>
      </c>
      <c r="E22">
        <v>8</v>
      </c>
    </row>
    <row r="23" spans="1:5" x14ac:dyDescent="0.2">
      <c r="A23" s="10" t="s">
        <v>182</v>
      </c>
      <c r="B23" s="10" t="s">
        <v>204</v>
      </c>
      <c r="D23" s="63" t="s">
        <v>129</v>
      </c>
      <c r="E23">
        <v>2</v>
      </c>
    </row>
    <row r="24" spans="1:5" x14ac:dyDescent="0.2">
      <c r="A24" s="7" t="s">
        <v>154</v>
      </c>
      <c r="B24" s="7" t="s">
        <v>131</v>
      </c>
      <c r="D24" s="63" t="s">
        <v>202</v>
      </c>
      <c r="E24">
        <v>4</v>
      </c>
    </row>
    <row r="25" spans="1:5" x14ac:dyDescent="0.2">
      <c r="A25" s="10" t="s">
        <v>214</v>
      </c>
      <c r="B25" s="10" t="s">
        <v>155</v>
      </c>
      <c r="D25" s="63" t="s">
        <v>182</v>
      </c>
      <c r="E25">
        <v>2</v>
      </c>
    </row>
    <row r="26" spans="1:5" x14ac:dyDescent="0.2">
      <c r="A26" s="7" t="s">
        <v>202</v>
      </c>
      <c r="B26" s="7" t="s">
        <v>309</v>
      </c>
      <c r="D26" s="50" t="s">
        <v>204</v>
      </c>
      <c r="E26">
        <v>27</v>
      </c>
    </row>
    <row r="27" spans="1:5" x14ac:dyDescent="0.2">
      <c r="A27" s="10" t="s">
        <v>202</v>
      </c>
      <c r="B27" s="10" t="s">
        <v>131</v>
      </c>
      <c r="D27" s="63" t="s">
        <v>214</v>
      </c>
      <c r="E27">
        <v>2</v>
      </c>
    </row>
    <row r="28" spans="1:5" x14ac:dyDescent="0.2">
      <c r="A28" s="7" t="s">
        <v>243</v>
      </c>
      <c r="B28" s="7" t="s">
        <v>131</v>
      </c>
      <c r="D28" s="63" t="s">
        <v>154</v>
      </c>
      <c r="E28">
        <v>4</v>
      </c>
    </row>
    <row r="29" spans="1:5" x14ac:dyDescent="0.2">
      <c r="A29" s="10" t="s">
        <v>129</v>
      </c>
      <c r="B29" s="10" t="s">
        <v>194</v>
      </c>
      <c r="D29" s="63" t="s">
        <v>243</v>
      </c>
      <c r="E29">
        <v>5</v>
      </c>
    </row>
    <row r="30" spans="1:5" x14ac:dyDescent="0.2">
      <c r="A30" s="7" t="s">
        <v>129</v>
      </c>
      <c r="B30" s="7" t="s">
        <v>131</v>
      </c>
      <c r="D30" s="63" t="s">
        <v>193</v>
      </c>
      <c r="E30">
        <v>4</v>
      </c>
    </row>
    <row r="31" spans="1:5" x14ac:dyDescent="0.2">
      <c r="A31" s="10" t="s">
        <v>193</v>
      </c>
      <c r="B31" s="10" t="s">
        <v>221</v>
      </c>
      <c r="D31" s="63" t="s">
        <v>129</v>
      </c>
      <c r="E31">
        <v>4</v>
      </c>
    </row>
    <row r="32" spans="1:5" x14ac:dyDescent="0.2">
      <c r="A32" s="7" t="s">
        <v>129</v>
      </c>
      <c r="B32" s="7" t="s">
        <v>131</v>
      </c>
      <c r="D32" s="63" t="s">
        <v>202</v>
      </c>
      <c r="E32">
        <v>3</v>
      </c>
    </row>
    <row r="33" spans="1:5" x14ac:dyDescent="0.2">
      <c r="A33" s="10" t="s">
        <v>154</v>
      </c>
      <c r="B33" s="10" t="s">
        <v>131</v>
      </c>
      <c r="D33" s="63" t="s">
        <v>182</v>
      </c>
      <c r="E33">
        <v>5</v>
      </c>
    </row>
    <row r="34" spans="1:5" x14ac:dyDescent="0.2">
      <c r="A34" s="7" t="s">
        <v>243</v>
      </c>
      <c r="B34" s="7" t="s">
        <v>221</v>
      </c>
      <c r="D34" s="50" t="s">
        <v>194</v>
      </c>
      <c r="E34">
        <v>38</v>
      </c>
    </row>
    <row r="35" spans="1:5" x14ac:dyDescent="0.2">
      <c r="A35" s="10" t="s">
        <v>129</v>
      </c>
      <c r="B35" s="10" t="s">
        <v>194</v>
      </c>
      <c r="D35" s="63" t="s">
        <v>214</v>
      </c>
      <c r="E35">
        <v>3</v>
      </c>
    </row>
    <row r="36" spans="1:5" x14ac:dyDescent="0.2">
      <c r="A36" s="7" t="s">
        <v>129</v>
      </c>
      <c r="B36" s="7" t="s">
        <v>309</v>
      </c>
      <c r="D36" s="63" t="s">
        <v>154</v>
      </c>
      <c r="E36">
        <v>2</v>
      </c>
    </row>
    <row r="37" spans="1:5" x14ac:dyDescent="0.2">
      <c r="A37" s="10" t="s">
        <v>202</v>
      </c>
      <c r="B37" s="10" t="s">
        <v>194</v>
      </c>
      <c r="D37" s="63" t="s">
        <v>243</v>
      </c>
      <c r="E37">
        <v>2</v>
      </c>
    </row>
    <row r="38" spans="1:5" x14ac:dyDescent="0.2">
      <c r="A38" s="7" t="s">
        <v>129</v>
      </c>
      <c r="B38" s="7" t="s">
        <v>131</v>
      </c>
      <c r="D38" s="63" t="s">
        <v>193</v>
      </c>
      <c r="E38">
        <v>1</v>
      </c>
    </row>
    <row r="39" spans="1:5" x14ac:dyDescent="0.2">
      <c r="A39" s="10" t="s">
        <v>243</v>
      </c>
      <c r="B39" s="10" t="s">
        <v>131</v>
      </c>
      <c r="D39" s="63" t="s">
        <v>129</v>
      </c>
      <c r="E39">
        <v>15</v>
      </c>
    </row>
    <row r="40" spans="1:5" x14ac:dyDescent="0.2">
      <c r="A40" s="7" t="s">
        <v>182</v>
      </c>
      <c r="B40" s="7" t="s">
        <v>131</v>
      </c>
      <c r="D40" s="63" t="s">
        <v>202</v>
      </c>
      <c r="E40">
        <v>8</v>
      </c>
    </row>
    <row r="41" spans="1:5" x14ac:dyDescent="0.2">
      <c r="A41" s="10" t="s">
        <v>129</v>
      </c>
      <c r="B41" s="10" t="s">
        <v>194</v>
      </c>
      <c r="D41" s="63" t="s">
        <v>182</v>
      </c>
      <c r="E41">
        <v>7</v>
      </c>
    </row>
    <row r="42" spans="1:5" x14ac:dyDescent="0.2">
      <c r="A42" s="7" t="s">
        <v>202</v>
      </c>
      <c r="B42" s="7" t="s">
        <v>131</v>
      </c>
      <c r="D42" s="50" t="s">
        <v>797</v>
      </c>
    </row>
    <row r="43" spans="1:5" x14ac:dyDescent="0.2">
      <c r="A43" s="10" t="s">
        <v>182</v>
      </c>
      <c r="B43" s="10" t="s">
        <v>194</v>
      </c>
      <c r="D43" s="63" t="s">
        <v>797</v>
      </c>
    </row>
    <row r="44" spans="1:5" x14ac:dyDescent="0.2">
      <c r="A44" s="7" t="s">
        <v>243</v>
      </c>
      <c r="B44" s="7" t="s">
        <v>155</v>
      </c>
      <c r="D44" s="50" t="s">
        <v>793</v>
      </c>
      <c r="E44">
        <v>150</v>
      </c>
    </row>
    <row r="45" spans="1:5" x14ac:dyDescent="0.2">
      <c r="A45" s="10" t="s">
        <v>182</v>
      </c>
      <c r="B45" s="10" t="s">
        <v>131</v>
      </c>
    </row>
    <row r="46" spans="1:5" x14ac:dyDescent="0.2">
      <c r="A46" s="7" t="s">
        <v>193</v>
      </c>
      <c r="B46" s="7" t="s">
        <v>204</v>
      </c>
    </row>
    <row r="47" spans="1:5" x14ac:dyDescent="0.2">
      <c r="A47" s="10" t="s">
        <v>202</v>
      </c>
      <c r="B47" s="10" t="s">
        <v>309</v>
      </c>
    </row>
    <row r="48" spans="1:5" x14ac:dyDescent="0.2">
      <c r="A48" s="7" t="s">
        <v>129</v>
      </c>
      <c r="B48" s="7" t="s">
        <v>131</v>
      </c>
    </row>
    <row r="49" spans="1:2" x14ac:dyDescent="0.2">
      <c r="A49" s="10" t="s">
        <v>154</v>
      </c>
      <c r="B49" s="10" t="s">
        <v>155</v>
      </c>
    </row>
    <row r="50" spans="1:2" x14ac:dyDescent="0.2">
      <c r="A50" s="7" t="s">
        <v>243</v>
      </c>
      <c r="B50" s="7" t="s">
        <v>221</v>
      </c>
    </row>
    <row r="51" spans="1:2" x14ac:dyDescent="0.2">
      <c r="A51" s="10" t="s">
        <v>154</v>
      </c>
      <c r="B51" s="10" t="s">
        <v>131</v>
      </c>
    </row>
    <row r="52" spans="1:2" x14ac:dyDescent="0.2">
      <c r="A52" s="7" t="s">
        <v>182</v>
      </c>
      <c r="B52" s="7" t="s">
        <v>221</v>
      </c>
    </row>
    <row r="53" spans="1:2" x14ac:dyDescent="0.2">
      <c r="A53" s="10" t="s">
        <v>129</v>
      </c>
      <c r="B53" s="10" t="s">
        <v>309</v>
      </c>
    </row>
    <row r="54" spans="1:2" x14ac:dyDescent="0.2">
      <c r="A54" s="7" t="s">
        <v>129</v>
      </c>
      <c r="B54" s="7" t="s">
        <v>194</v>
      </c>
    </row>
    <row r="55" spans="1:2" x14ac:dyDescent="0.2">
      <c r="A55" s="10" t="s">
        <v>182</v>
      </c>
      <c r="B55" s="10" t="s">
        <v>194</v>
      </c>
    </row>
    <row r="56" spans="1:2" x14ac:dyDescent="0.2">
      <c r="A56" s="7" t="s">
        <v>154</v>
      </c>
      <c r="B56" s="7" t="s">
        <v>221</v>
      </c>
    </row>
    <row r="57" spans="1:2" x14ac:dyDescent="0.2">
      <c r="A57" s="10" t="s">
        <v>243</v>
      </c>
      <c r="B57" s="10" t="s">
        <v>131</v>
      </c>
    </row>
    <row r="58" spans="1:2" x14ac:dyDescent="0.2">
      <c r="A58" s="7" t="s">
        <v>182</v>
      </c>
      <c r="B58" s="7" t="s">
        <v>155</v>
      </c>
    </row>
    <row r="59" spans="1:2" x14ac:dyDescent="0.2">
      <c r="A59" s="10" t="s">
        <v>243</v>
      </c>
      <c r="B59" s="10" t="s">
        <v>204</v>
      </c>
    </row>
    <row r="60" spans="1:2" x14ac:dyDescent="0.2">
      <c r="A60" s="7" t="s">
        <v>202</v>
      </c>
      <c r="B60" s="7" t="s">
        <v>131</v>
      </c>
    </row>
    <row r="61" spans="1:2" x14ac:dyDescent="0.2">
      <c r="A61" s="10" t="s">
        <v>202</v>
      </c>
      <c r="B61" s="10" t="s">
        <v>131</v>
      </c>
    </row>
    <row r="62" spans="1:2" x14ac:dyDescent="0.2">
      <c r="A62" s="7" t="s">
        <v>154</v>
      </c>
      <c r="B62" s="7" t="s">
        <v>221</v>
      </c>
    </row>
    <row r="63" spans="1:2" x14ac:dyDescent="0.2">
      <c r="A63" s="10" t="s">
        <v>129</v>
      </c>
      <c r="B63" s="10" t="s">
        <v>194</v>
      </c>
    </row>
    <row r="64" spans="1:2" x14ac:dyDescent="0.2">
      <c r="A64" s="7" t="s">
        <v>154</v>
      </c>
      <c r="B64" s="7" t="s">
        <v>131</v>
      </c>
    </row>
    <row r="65" spans="1:2" x14ac:dyDescent="0.2">
      <c r="A65" s="10" t="s">
        <v>182</v>
      </c>
      <c r="B65" s="10" t="s">
        <v>131</v>
      </c>
    </row>
    <row r="66" spans="1:2" x14ac:dyDescent="0.2">
      <c r="A66" s="7" t="s">
        <v>129</v>
      </c>
      <c r="B66" s="7" t="s">
        <v>221</v>
      </c>
    </row>
    <row r="67" spans="1:2" x14ac:dyDescent="0.2">
      <c r="A67" s="10" t="s">
        <v>129</v>
      </c>
      <c r="B67" s="10" t="s">
        <v>131</v>
      </c>
    </row>
    <row r="68" spans="1:2" x14ac:dyDescent="0.2">
      <c r="A68" s="7" t="s">
        <v>154</v>
      </c>
      <c r="B68" s="7" t="s">
        <v>204</v>
      </c>
    </row>
    <row r="69" spans="1:2" x14ac:dyDescent="0.2">
      <c r="A69" s="10" t="s">
        <v>182</v>
      </c>
      <c r="B69" s="10" t="s">
        <v>131</v>
      </c>
    </row>
    <row r="70" spans="1:2" x14ac:dyDescent="0.2">
      <c r="A70" s="7" t="s">
        <v>182</v>
      </c>
      <c r="B70" s="7" t="s">
        <v>204</v>
      </c>
    </row>
    <row r="71" spans="1:2" x14ac:dyDescent="0.2">
      <c r="A71" s="10" t="s">
        <v>129</v>
      </c>
      <c r="B71" s="10" t="s">
        <v>131</v>
      </c>
    </row>
    <row r="72" spans="1:2" x14ac:dyDescent="0.2">
      <c r="A72" s="7" t="s">
        <v>243</v>
      </c>
      <c r="B72" s="7" t="s">
        <v>204</v>
      </c>
    </row>
    <row r="73" spans="1:2" x14ac:dyDescent="0.2">
      <c r="A73" s="10" t="s">
        <v>129</v>
      </c>
      <c r="B73" s="10" t="s">
        <v>204</v>
      </c>
    </row>
    <row r="74" spans="1:2" x14ac:dyDescent="0.2">
      <c r="A74" s="7" t="s">
        <v>182</v>
      </c>
      <c r="B74" s="7" t="s">
        <v>131</v>
      </c>
    </row>
    <row r="75" spans="1:2" x14ac:dyDescent="0.2">
      <c r="A75" s="10" t="s">
        <v>129</v>
      </c>
      <c r="B75" s="10" t="s">
        <v>194</v>
      </c>
    </row>
    <row r="76" spans="1:2" x14ac:dyDescent="0.2">
      <c r="A76" s="7" t="s">
        <v>129</v>
      </c>
      <c r="B76" s="7" t="s">
        <v>221</v>
      </c>
    </row>
    <row r="77" spans="1:2" x14ac:dyDescent="0.2">
      <c r="A77" s="10" t="s">
        <v>129</v>
      </c>
      <c r="B77" s="10" t="s">
        <v>194</v>
      </c>
    </row>
    <row r="78" spans="1:2" x14ac:dyDescent="0.2">
      <c r="A78" s="7" t="s">
        <v>182</v>
      </c>
      <c r="B78" s="7" t="s">
        <v>309</v>
      </c>
    </row>
    <row r="79" spans="1:2" x14ac:dyDescent="0.2">
      <c r="A79" s="10" t="s">
        <v>214</v>
      </c>
      <c r="B79" s="10" t="s">
        <v>194</v>
      </c>
    </row>
    <row r="80" spans="1:2" x14ac:dyDescent="0.2">
      <c r="A80" s="7" t="s">
        <v>193</v>
      </c>
      <c r="B80" s="7" t="s">
        <v>204</v>
      </c>
    </row>
    <row r="81" spans="1:2" x14ac:dyDescent="0.2">
      <c r="A81" s="10" t="s">
        <v>243</v>
      </c>
      <c r="B81" s="10" t="s">
        <v>221</v>
      </c>
    </row>
    <row r="82" spans="1:2" x14ac:dyDescent="0.2">
      <c r="A82" s="7" t="s">
        <v>202</v>
      </c>
      <c r="B82" s="7" t="s">
        <v>194</v>
      </c>
    </row>
    <row r="83" spans="1:2" x14ac:dyDescent="0.2">
      <c r="A83" s="10" t="s">
        <v>129</v>
      </c>
      <c r="B83" s="10" t="s">
        <v>194</v>
      </c>
    </row>
    <row r="84" spans="1:2" x14ac:dyDescent="0.2">
      <c r="A84" s="7" t="s">
        <v>202</v>
      </c>
      <c r="B84" s="7" t="s">
        <v>131</v>
      </c>
    </row>
    <row r="85" spans="1:2" x14ac:dyDescent="0.2">
      <c r="A85" s="10" t="s">
        <v>243</v>
      </c>
      <c r="B85" s="10" t="s">
        <v>155</v>
      </c>
    </row>
    <row r="86" spans="1:2" x14ac:dyDescent="0.2">
      <c r="A86" s="7" t="s">
        <v>202</v>
      </c>
      <c r="B86" s="7" t="s">
        <v>131</v>
      </c>
    </row>
    <row r="87" spans="1:2" x14ac:dyDescent="0.2">
      <c r="A87" s="10" t="s">
        <v>243</v>
      </c>
      <c r="B87" s="10" t="s">
        <v>204</v>
      </c>
    </row>
    <row r="88" spans="1:2" x14ac:dyDescent="0.2">
      <c r="A88" s="7" t="s">
        <v>214</v>
      </c>
      <c r="B88" s="7" t="s">
        <v>204</v>
      </c>
    </row>
    <row r="89" spans="1:2" x14ac:dyDescent="0.2">
      <c r="A89" s="10" t="s">
        <v>182</v>
      </c>
      <c r="B89" s="10" t="s">
        <v>131</v>
      </c>
    </row>
    <row r="90" spans="1:2" x14ac:dyDescent="0.2">
      <c r="A90" s="7" t="s">
        <v>182</v>
      </c>
      <c r="B90" s="7" t="s">
        <v>194</v>
      </c>
    </row>
    <row r="91" spans="1:2" x14ac:dyDescent="0.2">
      <c r="A91" s="10" t="s">
        <v>193</v>
      </c>
      <c r="B91" s="10" t="s">
        <v>221</v>
      </c>
    </row>
    <row r="92" spans="1:2" x14ac:dyDescent="0.2">
      <c r="A92" s="7" t="s">
        <v>154</v>
      </c>
      <c r="B92" s="7" t="s">
        <v>221</v>
      </c>
    </row>
    <row r="93" spans="1:2" x14ac:dyDescent="0.2">
      <c r="A93" s="10" t="s">
        <v>182</v>
      </c>
      <c r="B93" s="10" t="s">
        <v>194</v>
      </c>
    </row>
    <row r="94" spans="1:2" x14ac:dyDescent="0.2">
      <c r="A94" s="7" t="s">
        <v>202</v>
      </c>
      <c r="B94" s="7" t="s">
        <v>204</v>
      </c>
    </row>
    <row r="95" spans="1:2" x14ac:dyDescent="0.2">
      <c r="A95" s="10" t="s">
        <v>129</v>
      </c>
      <c r="B95" s="10" t="s">
        <v>194</v>
      </c>
    </row>
    <row r="96" spans="1:2" x14ac:dyDescent="0.2">
      <c r="A96" s="7" t="s">
        <v>182</v>
      </c>
      <c r="B96" s="7" t="s">
        <v>309</v>
      </c>
    </row>
    <row r="97" spans="1:2" x14ac:dyDescent="0.2">
      <c r="A97" s="10" t="s">
        <v>129</v>
      </c>
      <c r="B97" s="10" t="s">
        <v>204</v>
      </c>
    </row>
    <row r="98" spans="1:2" x14ac:dyDescent="0.2">
      <c r="A98" s="7" t="s">
        <v>129</v>
      </c>
      <c r="B98" s="7" t="s">
        <v>194</v>
      </c>
    </row>
    <row r="99" spans="1:2" x14ac:dyDescent="0.2">
      <c r="A99" s="10" t="s">
        <v>193</v>
      </c>
      <c r="B99" s="10" t="s">
        <v>204</v>
      </c>
    </row>
    <row r="100" spans="1:2" x14ac:dyDescent="0.2">
      <c r="A100" s="7" t="s">
        <v>214</v>
      </c>
      <c r="B100" s="7" t="s">
        <v>131</v>
      </c>
    </row>
    <row r="101" spans="1:2" x14ac:dyDescent="0.2">
      <c r="A101" s="10" t="s">
        <v>243</v>
      </c>
      <c r="B101" s="10" t="s">
        <v>155</v>
      </c>
    </row>
    <row r="102" spans="1:2" x14ac:dyDescent="0.2">
      <c r="A102" s="7" t="s">
        <v>202</v>
      </c>
      <c r="B102" s="7" t="s">
        <v>309</v>
      </c>
    </row>
    <row r="103" spans="1:2" x14ac:dyDescent="0.2">
      <c r="A103" s="10" t="s">
        <v>214</v>
      </c>
      <c r="B103" s="10" t="s">
        <v>194</v>
      </c>
    </row>
    <row r="104" spans="1:2" x14ac:dyDescent="0.2">
      <c r="A104" s="7" t="s">
        <v>193</v>
      </c>
      <c r="B104" s="7" t="s">
        <v>221</v>
      </c>
    </row>
    <row r="105" spans="1:2" x14ac:dyDescent="0.2">
      <c r="A105" s="10" t="s">
        <v>129</v>
      </c>
      <c r="B105" s="10" t="s">
        <v>194</v>
      </c>
    </row>
    <row r="106" spans="1:2" x14ac:dyDescent="0.2">
      <c r="A106" s="7" t="s">
        <v>182</v>
      </c>
      <c r="B106" s="7" t="s">
        <v>204</v>
      </c>
    </row>
    <row r="107" spans="1:2" x14ac:dyDescent="0.2">
      <c r="A107" s="10" t="s">
        <v>243</v>
      </c>
      <c r="B107" s="10" t="s">
        <v>155</v>
      </c>
    </row>
    <row r="108" spans="1:2" x14ac:dyDescent="0.2">
      <c r="A108" s="7" t="s">
        <v>243</v>
      </c>
      <c r="B108" s="7" t="s">
        <v>131</v>
      </c>
    </row>
    <row r="109" spans="1:2" x14ac:dyDescent="0.2">
      <c r="A109" s="10" t="s">
        <v>182</v>
      </c>
      <c r="B109" s="10" t="s">
        <v>204</v>
      </c>
    </row>
    <row r="110" spans="1:2" x14ac:dyDescent="0.2">
      <c r="A110" s="7" t="s">
        <v>129</v>
      </c>
      <c r="B110" s="7" t="s">
        <v>194</v>
      </c>
    </row>
    <row r="111" spans="1:2" x14ac:dyDescent="0.2">
      <c r="A111" s="10" t="s">
        <v>202</v>
      </c>
      <c r="B111" s="10" t="s">
        <v>131</v>
      </c>
    </row>
    <row r="112" spans="1:2" x14ac:dyDescent="0.2">
      <c r="A112" s="7" t="s">
        <v>243</v>
      </c>
      <c r="B112" s="7" t="s">
        <v>155</v>
      </c>
    </row>
    <row r="113" spans="1:2" x14ac:dyDescent="0.2">
      <c r="A113" s="10" t="s">
        <v>129</v>
      </c>
      <c r="B113" s="10" t="s">
        <v>194</v>
      </c>
    </row>
    <row r="114" spans="1:2" x14ac:dyDescent="0.2">
      <c r="A114" s="7" t="s">
        <v>243</v>
      </c>
      <c r="B114" s="7" t="s">
        <v>204</v>
      </c>
    </row>
    <row r="115" spans="1:2" x14ac:dyDescent="0.2">
      <c r="A115" s="10" t="s">
        <v>154</v>
      </c>
      <c r="B115" s="10" t="s">
        <v>204</v>
      </c>
    </row>
    <row r="116" spans="1:2" x14ac:dyDescent="0.2">
      <c r="A116" s="7" t="s">
        <v>214</v>
      </c>
      <c r="B116" s="7" t="s">
        <v>131</v>
      </c>
    </row>
    <row r="117" spans="1:2" x14ac:dyDescent="0.2">
      <c r="A117" s="10" t="s">
        <v>243</v>
      </c>
      <c r="B117" s="10" t="s">
        <v>194</v>
      </c>
    </row>
    <row r="118" spans="1:2" x14ac:dyDescent="0.2">
      <c r="A118" s="7" t="s">
        <v>214</v>
      </c>
      <c r="B118" s="7" t="s">
        <v>131</v>
      </c>
    </row>
    <row r="119" spans="1:2" x14ac:dyDescent="0.2">
      <c r="A119" s="10" t="s">
        <v>243</v>
      </c>
      <c r="B119" s="10" t="s">
        <v>221</v>
      </c>
    </row>
    <row r="120" spans="1:2" x14ac:dyDescent="0.2">
      <c r="A120" s="7" t="s">
        <v>214</v>
      </c>
      <c r="B120" s="7" t="s">
        <v>131</v>
      </c>
    </row>
    <row r="121" spans="1:2" x14ac:dyDescent="0.2">
      <c r="A121" s="10" t="s">
        <v>214</v>
      </c>
      <c r="B121" s="10" t="s">
        <v>155</v>
      </c>
    </row>
    <row r="122" spans="1:2" x14ac:dyDescent="0.2">
      <c r="A122" s="7" t="s">
        <v>202</v>
      </c>
      <c r="B122" s="7" t="s">
        <v>194</v>
      </c>
    </row>
    <row r="123" spans="1:2" x14ac:dyDescent="0.2">
      <c r="A123" s="10" t="s">
        <v>182</v>
      </c>
      <c r="B123" s="10" t="s">
        <v>194</v>
      </c>
    </row>
    <row r="124" spans="1:2" x14ac:dyDescent="0.2">
      <c r="A124" s="7" t="s">
        <v>129</v>
      </c>
      <c r="B124" s="7" t="s">
        <v>194</v>
      </c>
    </row>
    <row r="125" spans="1:2" x14ac:dyDescent="0.2">
      <c r="A125" s="10" t="s">
        <v>154</v>
      </c>
      <c r="B125" s="10" t="s">
        <v>131</v>
      </c>
    </row>
    <row r="126" spans="1:2" x14ac:dyDescent="0.2">
      <c r="A126" s="7" t="s">
        <v>129</v>
      </c>
      <c r="B126" s="7" t="s">
        <v>155</v>
      </c>
    </row>
    <row r="127" spans="1:2" x14ac:dyDescent="0.2">
      <c r="A127" s="10" t="s">
        <v>243</v>
      </c>
      <c r="B127" s="10" t="s">
        <v>131</v>
      </c>
    </row>
    <row r="128" spans="1:2" x14ac:dyDescent="0.2">
      <c r="A128" s="7" t="s">
        <v>202</v>
      </c>
      <c r="B128" s="7" t="s">
        <v>194</v>
      </c>
    </row>
    <row r="129" spans="1:2" x14ac:dyDescent="0.2">
      <c r="A129" s="10" t="s">
        <v>129</v>
      </c>
      <c r="B129" s="10" t="s">
        <v>221</v>
      </c>
    </row>
    <row r="130" spans="1:2" x14ac:dyDescent="0.2">
      <c r="A130" s="7" t="s">
        <v>129</v>
      </c>
      <c r="B130" s="7" t="s">
        <v>204</v>
      </c>
    </row>
    <row r="131" spans="1:2" x14ac:dyDescent="0.2">
      <c r="A131" s="10" t="s">
        <v>202</v>
      </c>
      <c r="B131" s="10" t="s">
        <v>194</v>
      </c>
    </row>
    <row r="132" spans="1:2" x14ac:dyDescent="0.2">
      <c r="A132" s="7" t="s">
        <v>214</v>
      </c>
      <c r="B132" s="7" t="s">
        <v>204</v>
      </c>
    </row>
    <row r="133" spans="1:2" x14ac:dyDescent="0.2">
      <c r="A133" s="10" t="s">
        <v>182</v>
      </c>
      <c r="B133" s="10" t="s">
        <v>131</v>
      </c>
    </row>
    <row r="134" spans="1:2" x14ac:dyDescent="0.2">
      <c r="A134" s="7" t="s">
        <v>202</v>
      </c>
      <c r="B134" s="7" t="s">
        <v>155</v>
      </c>
    </row>
    <row r="135" spans="1:2" x14ac:dyDescent="0.2">
      <c r="A135" s="10" t="s">
        <v>129</v>
      </c>
      <c r="B135" s="10" t="s">
        <v>194</v>
      </c>
    </row>
    <row r="136" spans="1:2" x14ac:dyDescent="0.2">
      <c r="A136" s="7" t="s">
        <v>202</v>
      </c>
      <c r="B136" s="7" t="s">
        <v>204</v>
      </c>
    </row>
    <row r="137" spans="1:2" x14ac:dyDescent="0.2">
      <c r="A137" s="10" t="s">
        <v>202</v>
      </c>
      <c r="B137" s="10" t="s">
        <v>309</v>
      </c>
    </row>
    <row r="138" spans="1:2" x14ac:dyDescent="0.2">
      <c r="A138" s="7" t="s">
        <v>202</v>
      </c>
      <c r="B138" s="7" t="s">
        <v>194</v>
      </c>
    </row>
    <row r="139" spans="1:2" x14ac:dyDescent="0.2">
      <c r="A139" s="10" t="s">
        <v>154</v>
      </c>
      <c r="B139" s="10" t="s">
        <v>194</v>
      </c>
    </row>
    <row r="140" spans="1:2" x14ac:dyDescent="0.2">
      <c r="A140" s="7" t="s">
        <v>154</v>
      </c>
      <c r="B140" s="7" t="s">
        <v>131</v>
      </c>
    </row>
    <row r="141" spans="1:2" x14ac:dyDescent="0.2">
      <c r="A141" s="10" t="s">
        <v>243</v>
      </c>
      <c r="B141" s="10" t="s">
        <v>204</v>
      </c>
    </row>
    <row r="142" spans="1:2" x14ac:dyDescent="0.2">
      <c r="A142" s="7" t="s">
        <v>129</v>
      </c>
      <c r="B142" s="7" t="s">
        <v>155</v>
      </c>
    </row>
    <row r="143" spans="1:2" x14ac:dyDescent="0.2">
      <c r="A143" s="10" t="s">
        <v>129</v>
      </c>
      <c r="B143" s="10" t="s">
        <v>131</v>
      </c>
    </row>
    <row r="144" spans="1:2" x14ac:dyDescent="0.2">
      <c r="A144" s="7" t="s">
        <v>202</v>
      </c>
      <c r="B144" s="7" t="s">
        <v>194</v>
      </c>
    </row>
    <row r="145" spans="1:2" x14ac:dyDescent="0.2">
      <c r="A145" s="10" t="s">
        <v>193</v>
      </c>
      <c r="B145" s="10" t="s">
        <v>204</v>
      </c>
    </row>
    <row r="146" spans="1:2" x14ac:dyDescent="0.2">
      <c r="A146" s="7" t="s">
        <v>154</v>
      </c>
      <c r="B146" s="7" t="s">
        <v>204</v>
      </c>
    </row>
    <row r="147" spans="1:2" x14ac:dyDescent="0.2">
      <c r="A147" s="10" t="s">
        <v>129</v>
      </c>
      <c r="B147" s="10" t="s">
        <v>155</v>
      </c>
    </row>
    <row r="148" spans="1:2" x14ac:dyDescent="0.2">
      <c r="A148" s="7" t="s">
        <v>129</v>
      </c>
      <c r="B148" s="7" t="s">
        <v>131</v>
      </c>
    </row>
    <row r="149" spans="1:2" x14ac:dyDescent="0.2">
      <c r="A149" s="10" t="s">
        <v>202</v>
      </c>
      <c r="B149" s="10" t="s">
        <v>194</v>
      </c>
    </row>
    <row r="150" spans="1:2" x14ac:dyDescent="0.2">
      <c r="A150" s="7" t="s">
        <v>129</v>
      </c>
      <c r="B150" s="7" t="s">
        <v>131</v>
      </c>
    </row>
    <row r="151" spans="1:2" x14ac:dyDescent="0.2">
      <c r="A151" s="10" t="s">
        <v>182</v>
      </c>
      <c r="B151" s="10" t="s">
        <v>194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27"/>
  <sheetViews>
    <sheetView showGridLines="0" workbookViewId="0"/>
  </sheetViews>
  <sheetFormatPr baseColWidth="10" defaultColWidth="8.83203125" defaultRowHeight="15" x14ac:dyDescent="0.2"/>
  <cols>
    <col min="1" max="1" width="3" customWidth="1"/>
    <col min="2" max="2" width="28" customWidth="1"/>
    <col min="3" max="3" width="30" customWidth="1"/>
    <col min="4" max="4" width="45" customWidth="1"/>
  </cols>
  <sheetData>
    <row r="2" spans="2:16" ht="38" customHeight="1" x14ac:dyDescent="0.2">
      <c r="B2" s="89" t="s">
        <v>750</v>
      </c>
      <c r="C2" s="87"/>
      <c r="D2" s="87"/>
    </row>
    <row r="3" spans="2:16" ht="5" customHeight="1" x14ac:dyDescent="0.2">
      <c r="B3" s="1"/>
      <c r="C3" s="1"/>
      <c r="D3" s="1"/>
      <c r="E3" s="1"/>
      <c r="F3" s="1"/>
      <c r="G3" s="1"/>
      <c r="H3" s="1"/>
      <c r="I3" s="1"/>
      <c r="J3" s="1"/>
      <c r="K3" s="1"/>
      <c r="L3" s="1"/>
      <c r="M3" s="1"/>
      <c r="N3" s="1"/>
      <c r="O3" s="1"/>
      <c r="P3" s="1"/>
    </row>
    <row r="6" spans="2:16" ht="24" customHeight="1" x14ac:dyDescent="0.2">
      <c r="B6" s="92" t="s">
        <v>751</v>
      </c>
      <c r="C6" s="87"/>
      <c r="D6" s="87"/>
    </row>
    <row r="7" spans="2:16" ht="24" customHeight="1" x14ac:dyDescent="0.2">
      <c r="B7" s="41" t="s">
        <v>752</v>
      </c>
      <c r="C7" s="10" t="s">
        <v>753</v>
      </c>
      <c r="D7" s="10" t="s">
        <v>754</v>
      </c>
    </row>
    <row r="8" spans="2:16" ht="24" customHeight="1" x14ac:dyDescent="0.2">
      <c r="B8" s="42" t="s">
        <v>755</v>
      </c>
      <c r="C8" s="7" t="s">
        <v>756</v>
      </c>
      <c r="D8" s="7" t="s">
        <v>757</v>
      </c>
    </row>
    <row r="9" spans="2:16" ht="24" customHeight="1" x14ac:dyDescent="0.2">
      <c r="B9" s="41" t="s">
        <v>758</v>
      </c>
      <c r="C9" s="10" t="s">
        <v>759</v>
      </c>
      <c r="D9" s="10" t="s">
        <v>760</v>
      </c>
    </row>
    <row r="10" spans="2:16" ht="24" customHeight="1" x14ac:dyDescent="0.2">
      <c r="B10" s="42" t="s">
        <v>761</v>
      </c>
      <c r="C10" s="7" t="s">
        <v>762</v>
      </c>
      <c r="D10" s="7" t="s">
        <v>763</v>
      </c>
    </row>
    <row r="11" spans="2:16" ht="24" customHeight="1" x14ac:dyDescent="0.2">
      <c r="B11" s="41"/>
      <c r="C11" s="10"/>
      <c r="D11" s="10"/>
    </row>
    <row r="12" spans="2:16" ht="24" customHeight="1" x14ac:dyDescent="0.2">
      <c r="B12" s="92" t="s">
        <v>764</v>
      </c>
      <c r="C12" s="87"/>
      <c r="D12" s="87"/>
    </row>
    <row r="13" spans="2:16" ht="24" customHeight="1" x14ac:dyDescent="0.2">
      <c r="B13" s="41" t="s">
        <v>202</v>
      </c>
      <c r="C13" s="10" t="s">
        <v>765</v>
      </c>
      <c r="D13" s="10" t="s">
        <v>766</v>
      </c>
    </row>
    <row r="14" spans="2:16" ht="24" customHeight="1" x14ac:dyDescent="0.2">
      <c r="B14" s="42" t="s">
        <v>182</v>
      </c>
      <c r="C14" s="7" t="s">
        <v>767</v>
      </c>
      <c r="D14" s="7" t="s">
        <v>768</v>
      </c>
    </row>
    <row r="15" spans="2:16" ht="24" customHeight="1" x14ac:dyDescent="0.2">
      <c r="B15" s="41" t="s">
        <v>129</v>
      </c>
      <c r="C15" s="10" t="s">
        <v>769</v>
      </c>
      <c r="D15" s="10" t="s">
        <v>770</v>
      </c>
    </row>
    <row r="16" spans="2:16" ht="24" customHeight="1" x14ac:dyDescent="0.2">
      <c r="B16" s="42" t="s">
        <v>243</v>
      </c>
      <c r="C16" s="7" t="s">
        <v>771</v>
      </c>
      <c r="D16" s="7" t="s">
        <v>772</v>
      </c>
    </row>
    <row r="17" spans="2:4" ht="24" customHeight="1" x14ac:dyDescent="0.2">
      <c r="B17" s="41" t="s">
        <v>154</v>
      </c>
      <c r="C17" s="10" t="s">
        <v>773</v>
      </c>
      <c r="D17" s="10" t="s">
        <v>774</v>
      </c>
    </row>
    <row r="18" spans="2:4" ht="24" customHeight="1" x14ac:dyDescent="0.2">
      <c r="B18" s="42" t="s">
        <v>214</v>
      </c>
      <c r="C18" s="7" t="s">
        <v>775</v>
      </c>
      <c r="D18" s="7" t="s">
        <v>776</v>
      </c>
    </row>
    <row r="19" spans="2:4" ht="24" customHeight="1" x14ac:dyDescent="0.2">
      <c r="B19" s="41" t="s">
        <v>193</v>
      </c>
      <c r="C19" s="10" t="s">
        <v>777</v>
      </c>
      <c r="D19" s="10" t="s">
        <v>778</v>
      </c>
    </row>
    <row r="20" spans="2:4" ht="24" customHeight="1" x14ac:dyDescent="0.2">
      <c r="B20" s="42"/>
      <c r="C20" s="7"/>
      <c r="D20" s="7"/>
    </row>
    <row r="21" spans="2:4" ht="24" customHeight="1" x14ac:dyDescent="0.2">
      <c r="B21" s="92" t="s">
        <v>779</v>
      </c>
      <c r="C21" s="87"/>
      <c r="D21" s="87"/>
    </row>
    <row r="22" spans="2:4" ht="24" customHeight="1" x14ac:dyDescent="0.2">
      <c r="B22" s="42" t="s">
        <v>780</v>
      </c>
      <c r="C22" s="7" t="s">
        <v>781</v>
      </c>
      <c r="D22" s="7" t="s">
        <v>782</v>
      </c>
    </row>
    <row r="23" spans="2:4" ht="24" customHeight="1" x14ac:dyDescent="0.2">
      <c r="B23" s="41" t="s">
        <v>783</v>
      </c>
      <c r="C23" s="10" t="s">
        <v>784</v>
      </c>
      <c r="D23" s="10" t="s">
        <v>785</v>
      </c>
    </row>
    <row r="24" spans="2:4" ht="24" customHeight="1" x14ac:dyDescent="0.2">
      <c r="B24" s="42" t="s">
        <v>786</v>
      </c>
      <c r="C24" s="7" t="s">
        <v>787</v>
      </c>
      <c r="D24" s="7" t="s">
        <v>788</v>
      </c>
    </row>
    <row r="25" spans="2:4" ht="24" customHeight="1" x14ac:dyDescent="0.2">
      <c r="B25" s="41"/>
      <c r="C25" s="10"/>
      <c r="D25" s="10"/>
    </row>
    <row r="26" spans="2:4" ht="24" customHeight="1" x14ac:dyDescent="0.2">
      <c r="B26" s="92" t="s">
        <v>789</v>
      </c>
      <c r="C26" s="87"/>
      <c r="D26" s="87"/>
    </row>
    <row r="27" spans="2:4" ht="24" customHeight="1" x14ac:dyDescent="0.2">
      <c r="B27" s="41"/>
      <c r="C27" s="10" t="s">
        <v>790</v>
      </c>
      <c r="D27" s="10"/>
    </row>
  </sheetData>
  <mergeCells count="5">
    <mergeCell ref="B26:D26"/>
    <mergeCell ref="B21:D21"/>
    <mergeCell ref="B12:D12"/>
    <mergeCell ref="B6:D6"/>
    <mergeCell ref="B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9774-739C-A74F-BB4E-8D0A6F2C36DF}">
  <dimension ref="A1:H13"/>
  <sheetViews>
    <sheetView topLeftCell="B11" zoomScale="172" zoomScaleNormal="231" workbookViewId="0">
      <selection activeCell="F12" sqref="F12"/>
    </sheetView>
  </sheetViews>
  <sheetFormatPr baseColWidth="10" defaultRowHeight="21" customHeight="1" x14ac:dyDescent="0.2"/>
  <cols>
    <col min="3" max="3" width="32.6640625" customWidth="1"/>
    <col min="4" max="4" width="21.6640625" customWidth="1"/>
    <col min="5" max="5" width="27.33203125" customWidth="1"/>
    <col min="6" max="6" width="31.6640625" customWidth="1"/>
  </cols>
  <sheetData>
    <row r="1" spans="1:8" ht="21" customHeight="1" x14ac:dyDescent="0.2">
      <c r="A1" s="69"/>
      <c r="B1" s="98" t="s">
        <v>845</v>
      </c>
      <c r="C1" s="87"/>
      <c r="D1" s="87"/>
      <c r="E1" s="87"/>
      <c r="F1" s="87"/>
      <c r="G1" s="87"/>
      <c r="H1" s="87"/>
    </row>
    <row r="2" spans="1:8" ht="5" customHeight="1" x14ac:dyDescent="0.2">
      <c r="B2" s="1"/>
      <c r="C2" s="1"/>
      <c r="D2" s="1"/>
      <c r="E2" s="1"/>
      <c r="F2" s="1"/>
      <c r="G2" s="1"/>
      <c r="H2" s="1"/>
    </row>
    <row r="3" spans="1:8" ht="21" customHeight="1" x14ac:dyDescent="0.2">
      <c r="B3" s="99" t="s">
        <v>809</v>
      </c>
      <c r="C3" s="87"/>
      <c r="D3" s="87"/>
      <c r="E3" s="87"/>
      <c r="F3" s="87"/>
      <c r="G3" s="87"/>
      <c r="H3" s="87"/>
    </row>
    <row r="5" spans="1:8" ht="124" customHeight="1" x14ac:dyDescent="0.2">
      <c r="B5" s="70" t="s">
        <v>29</v>
      </c>
      <c r="C5" s="70" t="s">
        <v>30</v>
      </c>
      <c r="D5" s="70" t="s">
        <v>810</v>
      </c>
      <c r="E5" s="70" t="s">
        <v>811</v>
      </c>
      <c r="F5" s="70" t="s">
        <v>812</v>
      </c>
    </row>
    <row r="6" spans="1:8" ht="101" customHeight="1" x14ac:dyDescent="0.2">
      <c r="B6" s="71" t="s">
        <v>34</v>
      </c>
      <c r="C6" s="72" t="s">
        <v>813</v>
      </c>
      <c r="D6" s="72" t="s">
        <v>814</v>
      </c>
      <c r="E6" s="73" t="s">
        <v>815</v>
      </c>
      <c r="F6" s="72" t="s">
        <v>816</v>
      </c>
    </row>
    <row r="7" spans="1:8" ht="124" customHeight="1" x14ac:dyDescent="0.2">
      <c r="B7" s="74" t="s">
        <v>39</v>
      </c>
      <c r="C7" s="75" t="s">
        <v>817</v>
      </c>
      <c r="D7" s="75" t="s">
        <v>818</v>
      </c>
      <c r="E7" s="76" t="s">
        <v>819</v>
      </c>
      <c r="F7" s="75" t="s">
        <v>820</v>
      </c>
    </row>
    <row r="8" spans="1:8" ht="124" customHeight="1" x14ac:dyDescent="0.2">
      <c r="B8" s="71" t="s">
        <v>42</v>
      </c>
      <c r="C8" s="72" t="s">
        <v>821</v>
      </c>
      <c r="D8" s="72" t="s">
        <v>822</v>
      </c>
      <c r="E8" s="73" t="s">
        <v>823</v>
      </c>
      <c r="F8" s="72" t="s">
        <v>824</v>
      </c>
    </row>
    <row r="9" spans="1:8" ht="124" customHeight="1" x14ac:dyDescent="0.2">
      <c r="B9" s="74" t="s">
        <v>46</v>
      </c>
      <c r="C9" s="75" t="s">
        <v>825</v>
      </c>
      <c r="D9" s="75" t="s">
        <v>826</v>
      </c>
      <c r="E9" s="76" t="s">
        <v>827</v>
      </c>
      <c r="F9" s="75" t="s">
        <v>828</v>
      </c>
    </row>
    <row r="10" spans="1:8" ht="124" customHeight="1" x14ac:dyDescent="0.2">
      <c r="B10" s="71" t="s">
        <v>49</v>
      </c>
      <c r="C10" s="72" t="s">
        <v>829</v>
      </c>
      <c r="D10" s="72" t="s">
        <v>830</v>
      </c>
      <c r="E10" s="73" t="s">
        <v>831</v>
      </c>
      <c r="F10" s="72" t="s">
        <v>832</v>
      </c>
    </row>
    <row r="11" spans="1:8" ht="140" customHeight="1" x14ac:dyDescent="0.2">
      <c r="B11" s="74" t="s">
        <v>53</v>
      </c>
      <c r="C11" s="75" t="s">
        <v>833</v>
      </c>
      <c r="D11" s="75" t="s">
        <v>834</v>
      </c>
      <c r="E11" s="76" t="s">
        <v>835</v>
      </c>
      <c r="F11" s="75" t="s">
        <v>836</v>
      </c>
    </row>
    <row r="12" spans="1:8" ht="139" customHeight="1" x14ac:dyDescent="0.2">
      <c r="B12" s="71" t="s">
        <v>56</v>
      </c>
      <c r="C12" s="72" t="s">
        <v>837</v>
      </c>
      <c r="D12" s="72" t="s">
        <v>838</v>
      </c>
      <c r="E12" s="73" t="s">
        <v>839</v>
      </c>
      <c r="F12" s="72" t="s">
        <v>840</v>
      </c>
    </row>
    <row r="13" spans="1:8" ht="124" customHeight="1" x14ac:dyDescent="0.2">
      <c r="B13" s="74" t="s">
        <v>60</v>
      </c>
      <c r="C13" s="75" t="s">
        <v>841</v>
      </c>
      <c r="D13" s="75" t="s">
        <v>842</v>
      </c>
      <c r="E13" s="76" t="s">
        <v>843</v>
      </c>
      <c r="F13" s="75" t="s">
        <v>844</v>
      </c>
    </row>
  </sheetData>
  <mergeCells count="2">
    <mergeCell ref="B1:H1"/>
    <mergeCell ref="B3:H3"/>
  </mergeCells>
  <pageMargins left="0.7" right="0.7" top="0.75" bottom="0.75" header="0.3" footer="0.3"/>
</worksheet>
</file>

<file path=docMetadata/LabelInfo.xml><?xml version="1.0" encoding="utf-8"?>
<clbl:labelList xmlns:clbl="http://schemas.microsoft.com/office/2020/mipLabelMetadata">
  <clbl:label id="{e10c8f44-f469-448f-bc0d-d781288ff01b}" enabled="0" method="" siteId="{e10c8f44-f469-448f-bc0d-d781288ff01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Cover</vt:lpstr>
      <vt:lpstr>Analysis Brief</vt:lpstr>
      <vt:lpstr>Rep Performance</vt:lpstr>
      <vt:lpstr>Forecast Model</vt:lpstr>
      <vt:lpstr>Dashboard</vt:lpstr>
      <vt:lpstr>Deal Data</vt:lpstr>
      <vt:lpstr>VISUALISATION TASKS</vt:lpstr>
      <vt:lpstr>Assumptions</vt:lpstr>
      <vt:lpstr>Completed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Owami Omphile Monaheng</cp:lastModifiedBy>
  <dcterms:created xsi:type="dcterms:W3CDTF">2026-04-12T18:27:26Z</dcterms:created>
  <dcterms:modified xsi:type="dcterms:W3CDTF">2026-04-20T07:13:24Z</dcterms:modified>
</cp:coreProperties>
</file>